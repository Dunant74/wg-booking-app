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autoCompressPictures="0"/>
  <xr:revisionPtr revIDLastSave="0" documentId="13_ncr:1_{CD60EBD2-F006-46A6-98A0-083B5BCABFEC}" xr6:coauthVersionLast="47" xr6:coauthVersionMax="47" xr10:uidLastSave="{00000000-0000-0000-0000-000000000000}"/>
  <bookViews>
    <workbookView xWindow="-108" yWindow="-108" windowWidth="23256" windowHeight="13896" tabRatio="894" firstSheet="5" activeTab="10" xr2:uid="{00000000-000D-0000-FFFF-FFFF00000000}"/>
  </bookViews>
  <sheets>
    <sheet name="1a-Identification Projet" sheetId="39" r:id="rId1"/>
    <sheet name="1b- Besoin capturé" sheetId="95" r:id="rId2"/>
    <sheet name="2d-Planning Initia" sheetId="96" r:id="rId3"/>
    <sheet name="23a Risques-Opportunités" sheetId="82" r:id="rId4"/>
    <sheet name="23b- Principaux évènements" sheetId="42" r:id="rId5"/>
    <sheet name="23c Actions" sheetId="74" r:id="rId6"/>
    <sheet name="23d Decisions" sheetId="73" r:id="rId7"/>
    <sheet name="23e Documents projet" sheetId="86" r:id="rId8"/>
    <sheet name="23f Livrables projet" sheetId="89" r:id="rId9"/>
    <sheet name="3a-Planning courant" sheetId="93" r:id="rId10"/>
    <sheet name="Phase 1" sheetId="97" r:id="rId11"/>
    <sheet name="Phase 2" sheetId="98" r:id="rId12"/>
    <sheet name="Phase 3" sheetId="99" r:id="rId13"/>
    <sheet name="Phase 4" sheetId="100" r:id="rId14"/>
    <sheet name="Phase 5" sheetId="101" r:id="rId15"/>
    <sheet name="Phase 6" sheetId="102" r:id="rId16"/>
    <sheet name="4-Bilan" sheetId="94" r:id="rId17"/>
  </sheets>
  <definedNames>
    <definedName name="__TB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_TBD3"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__TB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_TB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_TB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_TB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__TDB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a362903"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xlnm._FilterDatabase" localSheetId="1" hidden="1">'1b- Besoin capturé'!#REF!</definedName>
    <definedName name="_xlnm._FilterDatabase" localSheetId="5" hidden="1">'23c Actions'!$A$7:$H$10</definedName>
    <definedName name="_xlnm._FilterDatabase" localSheetId="6" hidden="1">'23d Decisions'!#REF!</definedName>
    <definedName name="_xlnm._FilterDatabase" localSheetId="7" hidden="1">'23e Documents projet'!#REF!</definedName>
    <definedName name="_xlnm._FilterDatabase" localSheetId="8" hidden="1">'23f Livrables projet'!#REF!</definedName>
    <definedName name="_TB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TBD3"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_TB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TB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TB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TB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_TDB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a"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aa"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dmin10"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20"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3"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dmin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eafe"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ef"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efe"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re"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bf"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RRJ_NAV.2.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x"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fgg" localSheetId="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localSheetId="5"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localSheetId="6"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localSheetId="7"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localSheetI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5"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6"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7"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eaaef"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ery"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PG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rer"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yr"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F"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FCU"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fqsdf" hidden="1">{#N/A,#N/A,TRUE,"Page de garde";#N/A,#N/A,TRUE,"0.1 Fiche descriptive";#N/A,#N/A,TRUE,"0.2 Organisation";#N/A,#N/A,TRUE,"0.3 Base documentaire";#N/A,#N/A,TRUE,"1.1 Faits Marquants";#N/A,#N/A,TRUE,"1.2 Décisions-Actions";#N/A,#N/A,TRUE,"2.1 Planning  (automatique)";#N/A,#N/A,TRUE,"2.2 Jalons (Courbe à 45°)";#N/A,#N/A,TRUE,"2.3 IMD - IRD PM";#N/A,#N/A,TRUE,"2.4 Suivi par Jalons";#N/A,#N/A,TRUE,"2.6 Obligations Client";#N/A,#N/A,TRUE,"3.1 Risques";#N/A,#N/A,TRUE,"3.2 Opportunités";#N/A,#N/A,TRUE,"8.1 COP-CEP ";#N/A,#N/A,TRUE,"8.2.1 Synthèse CPE CPP Etude";#N/A,#N/A,TRUE,"8.2.2 Synthèse CPE CPP Série";#N/A,#N/A,TRUE,"8.2.3 Synthèse CPE CPP TOTAL";#N/A,#N/A,TRUE,"8.3 CPE-CPP par lots";#N/A,#N/A,TRUE,"8.4 Courbe dépenses CPR-PPS";#N/A,#N/A,TRUE,"8.5 Situation financière";#N/A,#N/A,TRUE,"8.6 Rentabilité à terminaison"}</definedName>
    <definedName name="gg"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gh"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GRAPH_EVOL_SHIPSET"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hjkh"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HUD"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IVV"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KCCU"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MOU"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NDXKTMDRT"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newname"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QQQQQQQ"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RRJ"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rtg"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s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ss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ssss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BD"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Entreprises." hidden="1">{#N/A,#N/A,FALSE,"RCM";#N/A,#N/A,FALSE,"TME";#N/A,#N/A,FALSE,"TCAR";#N/A,#N/A,FALSE,"TCM";#N/A,#N/A,FALSE,"TCO";#N/A,#N/A,FALSE,"ANG";#N/A,#N/A,FALSE,"LAS";#N/A,#N/A,FALSE,"POL";#N/A,#N/A,FALSE,"TTS";#N/A,#N/A,FALSE,"TTE";#N/A,#N/A,FALSE,"TMX";#N/A,#N/A,FALSE,"TDA";#N/A,#N/A,FALSE,"BC";#N/A,#N/A,FALSE,"AUX";#N/A,#N/A,FALSE,"AJU1";#N/A,#N/A,FALSE,"AJU2";#N/A,#N/A,FALSE,"AJU3"}</definedName>
    <definedName name="wrn.poles." hidden="1">{#N/A,#N/A,FALSE,"Branche";#N/A,#N/A,FALSE,"Electromagnétisme";#N/A,#N/A,FALSE,"Optronique";#N/A,#N/A,FALSE,"Simulation";#N/A,#N/A,FALSE,"Tubes";#N/A,#N/A,FALSE,"Armement";#N/A,#N/A,FALSE,"Génération";#N/A,#N/A,FALSE,"Ajustements"}</definedName>
    <definedName name="wrn.Rap1."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DG."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wrn.tdb"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5"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6"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7"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MIG29." hidden="1">{#N/A,#N/A,TRUE,"Page de garde";#N/A,#N/A,TRUE,"0.1 Fiche descriptive";#N/A,#N/A,TRUE,"0.2 Organisation";#N/A,#N/A,TRUE,"0.3 Base documentaire";#N/A,#N/A,TRUE,"1.1 Faits Marquants";#N/A,#N/A,TRUE,"1.2 Décisions-Actions";#N/A,#N/A,TRUE,"2.1 Planning  (automatique)";#N/A,#N/A,TRUE,"2.2 Jalons (Courbe à 45°)";#N/A,#N/A,TRUE,"2.3 IMD - IRD PM";#N/A,#N/A,TRUE,"2.4 Suivi par Jalons";#N/A,#N/A,TRUE,"2.6 Obligations Client";#N/A,#N/A,TRUE,"3.1 Risques";#N/A,#N/A,TRUE,"3.2 Opportunités";#N/A,#N/A,TRUE,"8.1 COP-CEP ";#N/A,#N/A,TRUE,"8.2.1 Synthèse CPE CPP Etude";#N/A,#N/A,TRUE,"8.2.2 Synthèse CPE CPP Série";#N/A,#N/A,TRUE,"8.2.3 Synthèse CPE CPP TOTAL";#N/A,#N/A,TRUE,"8.3 CPE-CPP par lots";#N/A,#N/A,TRUE,"8.4 Courbe dépenses CPR-PPS";#N/A,#N/A,TRUE,"8.5 Situation financière";#N/A,#N/A,TRUE,"8.6 Rentabilité à terminaison"}</definedName>
    <definedName name="x"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xxx"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xxx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xxx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y"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96" l="1"/>
  <c r="K3" i="96" l="1"/>
  <c r="K2" i="96"/>
  <c r="K1" i="96"/>
  <c r="K2" i="93"/>
  <c r="B1" i="93" s="1"/>
  <c r="G4" i="94" l="1"/>
  <c r="G3" i="94"/>
  <c r="A2" i="94" s="1"/>
  <c r="G2" i="94"/>
  <c r="K3" i="93"/>
  <c r="K1" i="93"/>
  <c r="C12" i="82"/>
  <c r="E11" i="82"/>
  <c r="E10" i="82"/>
  <c r="E9" i="82"/>
  <c r="E8" i="82"/>
  <c r="E7" i="82"/>
  <c r="E19" i="82"/>
  <c r="E18" i="82"/>
  <c r="E17" i="82"/>
  <c r="E21" i="82" s="1"/>
  <c r="E16" i="82"/>
  <c r="D3" i="89"/>
  <c r="D2" i="89"/>
  <c r="D1" i="89"/>
  <c r="I3" i="86"/>
  <c r="I2" i="86"/>
  <c r="I1" i="86"/>
  <c r="C21" i="82"/>
  <c r="J1" i="73"/>
  <c r="J2" i="73"/>
  <c r="J3" i="73"/>
  <c r="J1" i="74"/>
  <c r="J2" i="74"/>
  <c r="J3" i="74"/>
  <c r="F1" i="82"/>
  <c r="F2" i="82"/>
  <c r="F3" i="82"/>
  <c r="E20" i="82"/>
  <c r="B1" i="42"/>
  <c r="B2" i="42"/>
  <c r="B3" i="42"/>
  <c r="E12" i="82" l="1"/>
</calcChain>
</file>

<file path=xl/sharedStrings.xml><?xml version="1.0" encoding="utf-8"?>
<sst xmlns="http://schemas.openxmlformats.org/spreadsheetml/2006/main" count="1878" uniqueCount="847">
  <si>
    <t>Responsable</t>
  </si>
  <si>
    <t>Total</t>
  </si>
  <si>
    <t>N°</t>
  </si>
  <si>
    <t>Période couverte par le dossier</t>
  </si>
  <si>
    <t>Liste de diffusion</t>
  </si>
  <si>
    <t>POINTS POSITIFS</t>
  </si>
  <si>
    <t>POINTS NEGATIFS / ALERTES</t>
  </si>
  <si>
    <t>Type</t>
  </si>
  <si>
    <t>Num</t>
  </si>
  <si>
    <t>Origin</t>
  </si>
  <si>
    <t>Resp</t>
  </si>
  <si>
    <t>Description du risque</t>
  </si>
  <si>
    <t>Plan d'action et commentaires</t>
  </si>
  <si>
    <t>Prob.</t>
  </si>
  <si>
    <t>Montant pondéré</t>
  </si>
  <si>
    <t>Date d'ouverture</t>
  </si>
  <si>
    <t>Date fermeture</t>
  </si>
  <si>
    <t>Description de l'opportunité *</t>
  </si>
  <si>
    <t xml:space="preserve">Total     </t>
  </si>
  <si>
    <t>Objectifs du projet</t>
  </si>
  <si>
    <t>Projet</t>
  </si>
  <si>
    <t>…</t>
  </si>
  <si>
    <t>Poid pondéré</t>
  </si>
  <si>
    <t>JUSTIFICATION</t>
  </si>
  <si>
    <t>Applicable :O/N</t>
  </si>
  <si>
    <t>O</t>
  </si>
  <si>
    <t>Date d'applicabilité</t>
  </si>
  <si>
    <t>Date de fin d'applicabilité</t>
  </si>
  <si>
    <t>Motif de fin d'applicabilité</t>
  </si>
  <si>
    <r>
      <t xml:space="preserve"> </t>
    </r>
    <r>
      <rPr>
        <b/>
        <sz val="10"/>
        <rFont val="Arial"/>
        <family val="2"/>
      </rPr>
      <t xml:space="preserve">DESCRIPTION </t>
    </r>
  </si>
  <si>
    <t>Titre</t>
  </si>
  <si>
    <t>Description/ objectif</t>
  </si>
  <si>
    <t>Référence</t>
  </si>
  <si>
    <t>Indice</t>
  </si>
  <si>
    <t>Hyperlien</t>
  </si>
  <si>
    <t>date prévue de dispo</t>
  </si>
  <si>
    <t>date effective
 de dispo</t>
  </si>
  <si>
    <t>Status</t>
  </si>
  <si>
    <t>à realiser</t>
  </si>
  <si>
    <t>&gt;&gt;&gt; Documents en entrée</t>
  </si>
  <si>
    <t>&gt;&gt;&gt; Documents en sortie</t>
  </si>
  <si>
    <t>Intitulé livrable</t>
  </si>
  <si>
    <t>Description Livrable</t>
  </si>
  <si>
    <t xml:space="preserve">date prévue </t>
  </si>
  <si>
    <t xml:space="preserve">    &gt;&gt;&gt; dossier Client</t>
  </si>
  <si>
    <t xml:space="preserve">    &gt;&gt;&gt; Document de reference</t>
  </si>
  <si>
    <t>validé</t>
  </si>
  <si>
    <t>Expression du besoin</t>
  </si>
  <si>
    <t>Structuration projet</t>
  </si>
  <si>
    <t>suivi projet</t>
  </si>
  <si>
    <t>Bilan</t>
  </si>
  <si>
    <t xml:space="preserve">    &gt;&gt;&gt; livrables projet</t>
  </si>
  <si>
    <t>Dossier de conceptionSolution</t>
  </si>
  <si>
    <t>Dossier des tests solution</t>
  </si>
  <si>
    <t xml:space="preserve">    &gt;&gt;&gt; Documents developpement solution</t>
  </si>
  <si>
    <t xml:space="preserve">    &gt;&gt;&gt; Documents Utilisateurs</t>
  </si>
  <si>
    <t>RP</t>
  </si>
  <si>
    <t>RCI</t>
  </si>
  <si>
    <t>&gt;&gt;&gt; Livrables en sortie</t>
  </si>
  <si>
    <t>Nom de la tâche</t>
  </si>
  <si>
    <t>Prédécesseurs</t>
  </si>
  <si>
    <t>recurrent 1 par semaine</t>
  </si>
  <si>
    <t>Description de l'action</t>
  </si>
  <si>
    <t>Date prévue initiale</t>
  </si>
  <si>
    <t>Date prévue courante</t>
  </si>
  <si>
    <t>Etat de l'action</t>
  </si>
  <si>
    <t>Date de cloture</t>
  </si>
  <si>
    <t>Preuve de cloture</t>
  </si>
  <si>
    <t>Commentaire</t>
  </si>
  <si>
    <t>Date d'enregistrement</t>
  </si>
  <si>
    <t>Description Exigence</t>
  </si>
  <si>
    <t>Responsable Dossier</t>
  </si>
  <si>
    <t>Titre Exigence</t>
  </si>
  <si>
    <t>Explication</t>
  </si>
  <si>
    <t>Date de mise à jour</t>
  </si>
  <si>
    <t>Réalisation d'un prototype de draisienne</t>
  </si>
  <si>
    <t xml:space="preserve">01/01/2019 =&gt; 31/06/2019
</t>
  </si>
  <si>
    <t>En vue d'une production et d'une commercialisation réaliser un prototype de draisienne</t>
  </si>
  <si>
    <t>August PROJET</t>
  </si>
  <si>
    <t xml:space="preserve">Alexandre LEGRANDCHEF (Entreprise de prototypage de Toulouse )
Edmond POULIDORT (Entrepreneur indépendant)
</t>
  </si>
  <si>
    <t>Entreprise de prototypage de Toulouse</t>
  </si>
  <si>
    <t>Difficulté de consensus autour de la notion d'estétique indémodable (Exigence DP07)</t>
  </si>
  <si>
    <t>Besoin complémentaire de matière première</t>
  </si>
  <si>
    <t>Poid brut K€</t>
  </si>
  <si>
    <t>Réutilisation du prototype vélo enfant 742</t>
  </si>
  <si>
    <t>Le projet est dimensionné sur la base des matières premières disponibles au sein de l'entreprise. A l'issue de la conception, un manque de matière première necessaire pourrait apparaitre necessitant un achat supplémentaire. Pour minimiser ce risque l'etat des matières premieres sera analysé au regard de la conception courante afin d'orienter celle ci si possible.</t>
  </si>
  <si>
    <t>RCI, RPA, RPM</t>
  </si>
  <si>
    <t>Montant brut K€</t>
  </si>
  <si>
    <t>RP, RCI</t>
  </si>
  <si>
    <t>Anantomie de l'homme en europe occidental</t>
  </si>
  <si>
    <t>quelques idées d'estetique de la draisienne</t>
  </si>
  <si>
    <t>M. DARWIN</t>
  </si>
  <si>
    <t>E. POULIDORT</t>
  </si>
  <si>
    <t>Cahier des charge Client</t>
  </si>
  <si>
    <t>These , sollicitation mecanique d'un velo enfant</t>
  </si>
  <si>
    <t>M. JDONG</t>
  </si>
  <si>
    <t>Design draisienne 1</t>
  </si>
  <si>
    <t>Manuel d'utilisation de la solution</t>
  </si>
  <si>
    <t>Prototype draisienne</t>
  </si>
  <si>
    <t>lot pieces alu</t>
  </si>
  <si>
    <t>Lot pieces mécaniques</t>
  </si>
  <si>
    <t>Lot pieces achetées</t>
  </si>
  <si>
    <t>Analyse critique du déroulement du projet</t>
  </si>
  <si>
    <t>Leçons apprises</t>
  </si>
  <si>
    <t>Mise en perspectives pour les projets futurs</t>
  </si>
  <si>
    <t>Période du 01/01/2019 au 22/01/2019</t>
  </si>
  <si>
    <t>L'analyse du besoin a été menée et montre une certaine clareté de l'attendu</t>
  </si>
  <si>
    <t>La structuration du projet a été réalisée et un premier tableau de bord a été émis (ref PD 01)</t>
  </si>
  <si>
    <t>Pas de difficultés particulières sur cette période</t>
  </si>
  <si>
    <t>Période du 23/01/2019 au 28/02/2019</t>
  </si>
  <si>
    <t>La Conception du produit est terminée et le prototypage peut etre lancée</t>
  </si>
  <si>
    <t>L'opportunité "Réutilisation du prototype vélo enfant 742" a été instruite. Une solution sur cette base a été présentée au client qui n'a pas retenu notre proposition.</t>
  </si>
  <si>
    <t>lors de la présentation de notre solution basée sur la réutilisation du prototype vélo (que le client n'a pas retenu) , le client a précisé ses attendus en termes de "look" de la draisienne. Ceci a permis d'etablir une proposition au plus prêt de son besoin qu'il a directement validé.</t>
  </si>
  <si>
    <t>Afin de ce premunir du risque, Un design prélimnaire sera effectué au debut de la tache de conception de la solution et ce design sera présenté au client pour validation. Une étude de design est prevu mais en cas de difficulté de convergence avec le clients 3 autres itérations de design pourraient être necessaires :
24/02/2019: Notre client ayant validé notre designe ce risque est clos</t>
  </si>
  <si>
    <t>Le prototype vélo enfant 742 serait succeptible (après adaptation locale, (suppression du pedalier, changement de la roue arrière, adaptation du cadre)) de répondre aux attentes de notre client. Pour saisir cette opportunité, le premier design présenté au client pour approbation sera basé sur cette solution.
12/02/2019: Nore client n'ayant pas retenu le design proposé par réutilisation du vélo cette opportunité est fermée</t>
  </si>
  <si>
    <t>TDB projet ref PD01</t>
  </si>
  <si>
    <t>TDB projet ref PD02</t>
  </si>
  <si>
    <t>Ref; PD 002</t>
  </si>
  <si>
    <t>en cours</t>
  </si>
  <si>
    <t>Conception solution draisienne .Doc</t>
  </si>
  <si>
    <t xml:space="preserve">Tableau de bord projet </t>
  </si>
  <si>
    <t>designe draisienne 1</t>
  </si>
  <si>
    <t>Développement</t>
  </si>
  <si>
    <t>DEV-01</t>
  </si>
  <si>
    <t>Authentification utilisateur</t>
  </si>
  <si>
    <t>Obligatoire</t>
  </si>
  <si>
    <t>L’utilisateur doit pouvoir créer un compte, se connecter et se déconnecter</t>
  </si>
  <si>
    <t>Test manuel + API test</t>
  </si>
  <si>
    <t>Base de toute application sécurisée</t>
  </si>
  <si>
    <t>DEV-02</t>
  </si>
  <si>
    <t>Gestion des rôles</t>
  </si>
  <si>
    <t>Le système doit gérer les rôles USER et ADMIN</t>
  </si>
  <si>
    <t>Test des permissions</t>
  </si>
  <si>
    <t>Permet différenciation des droits</t>
  </si>
  <si>
    <t>DEV-03</t>
  </si>
  <si>
    <t>Création de WG</t>
  </si>
  <si>
    <t>Un utilisateur doit pouvoir créer une colocation</t>
  </si>
  <si>
    <t>Test fonctionnel</t>
  </si>
  <si>
    <t>Point d’entrée de l’application</t>
  </si>
  <si>
    <t>DEV-04</t>
  </si>
  <si>
    <t>Rejoindre une WG</t>
  </si>
  <si>
    <t>Un utilisateur peut rejoindre une WG via code</t>
  </si>
  <si>
    <t>Test utilisateur</t>
  </si>
  <si>
    <t>Facilite collaboration</t>
  </si>
  <si>
    <t>DEV-05</t>
  </si>
  <si>
    <t>Gestion des objets</t>
  </si>
  <si>
    <t>CRUD des objets (ajouter, modifier, supprimer)</t>
  </si>
  <si>
    <t>Test API CRUD</t>
  </si>
  <si>
    <t>Gestion des ressources</t>
  </si>
  <si>
    <t>DEV-06</t>
  </si>
  <si>
    <t>Gestion des espaces</t>
  </si>
  <si>
    <t>CRUD des espaces communs</t>
  </si>
  <si>
    <t>Test API</t>
  </si>
  <si>
    <t>Organisation des lieux</t>
  </si>
  <si>
    <t>DEV-07</t>
  </si>
  <si>
    <t>Création réservation</t>
  </si>
  <si>
    <t>L’utilisateur peut réserver un objet ou espace</t>
  </si>
  <si>
    <t>Fonction principale</t>
  </si>
  <si>
    <t>DEV-08</t>
  </si>
  <si>
    <t>Vérification conflits</t>
  </si>
  <si>
    <t>Le système doit empêcher les doubles réservations</t>
  </si>
  <si>
    <t>Test logique métier</t>
  </si>
  <si>
    <t>Critique pour cohérence</t>
  </si>
  <si>
    <t>DEV-09</t>
  </si>
  <si>
    <t>Modification réservation</t>
  </si>
  <si>
    <t>Important</t>
  </si>
  <si>
    <t>Modifier une réservation existante</t>
  </si>
  <si>
    <t>Flexibilité utilisateur</t>
  </si>
  <si>
    <t>DEV-10</t>
  </si>
  <si>
    <t>Suppression réservation</t>
  </si>
  <si>
    <t>Supprimer une réservation</t>
  </si>
  <si>
    <t>Gestion des erreurs utilisateur</t>
  </si>
  <si>
    <t>DEV-11</t>
  </si>
  <si>
    <t>Affichage calendrier</t>
  </si>
  <si>
    <t>Voir les réservations sous forme de calendrier</t>
  </si>
  <si>
    <t>Test UI</t>
  </si>
  <si>
    <t>Améliore UX</t>
  </si>
  <si>
    <t>DEV-12</t>
  </si>
  <si>
    <t>Dashboard utilisateur</t>
  </si>
  <si>
    <t>Afficher les prochaines réservations</t>
  </si>
  <si>
    <t>Vue globale</t>
  </si>
  <si>
    <t>DEV-13</t>
  </si>
  <si>
    <t>Responsive design</t>
  </si>
  <si>
    <t>L’application doit fonctionner sur mobile/tablette/PC</t>
  </si>
  <si>
    <t>Test multi-device</t>
  </si>
  <si>
    <t>Accessibilité</t>
  </si>
  <si>
    <t>DEV-14</t>
  </si>
  <si>
    <t>API REST</t>
  </si>
  <si>
    <t>Backend doit exposer une API REST</t>
  </si>
  <si>
    <t>Test Postman</t>
  </si>
  <si>
    <t>Communication frontend/backend</t>
  </si>
  <si>
    <t>DEV-15</t>
  </si>
  <si>
    <t>Sécurité des données</t>
  </si>
  <si>
    <t>Données protégées (authentification + validation)</t>
  </si>
  <si>
    <t>Test sécurité</t>
  </si>
  <si>
    <t>Protection utilisateur</t>
  </si>
  <si>
    <t>Catégorie</t>
  </si>
  <si>
    <t>ID</t>
  </si>
  <si>
    <t>Criticité</t>
  </si>
  <si>
    <t>Méthode d’acceptation</t>
  </si>
  <si>
    <t>Gestion</t>
  </si>
  <si>
    <t>PM-01</t>
  </si>
  <si>
    <t>Gestion version Git</t>
  </si>
  <si>
    <t>Le projet doit être versionné avec Git</t>
  </si>
  <si>
    <t>Vérification GitHub</t>
  </si>
  <si>
    <t>Standard industrie</t>
  </si>
  <si>
    <t>PM-02</t>
  </si>
  <si>
    <t>Documentation README</t>
  </si>
  <si>
    <t>Le projet doit contenir une documentation claire</t>
  </si>
  <si>
    <t>Lecture README</t>
  </si>
  <si>
    <t>Important pour recruteurs</t>
  </si>
  <si>
    <t>PM-03</t>
  </si>
  <si>
    <t>Structure du projet</t>
  </si>
  <si>
    <t>Code organisé (Controller, Service, Repository)</t>
  </si>
  <si>
    <t>Revue code</t>
  </si>
  <si>
    <t>Bonne pratique</t>
  </si>
  <si>
    <t>PM-04</t>
  </si>
  <si>
    <t>Planning de développement</t>
  </si>
  <si>
    <t>Respect d’un planning structuré</t>
  </si>
  <si>
    <t>Suivi des tâches</t>
  </si>
  <si>
    <t>Organisation</t>
  </si>
  <si>
    <t>PM-05</t>
  </si>
  <si>
    <t>Utilisation d’un outil (Notion, Trello…)</t>
  </si>
  <si>
    <t>Vérification outil</t>
  </si>
  <si>
    <t>Gestion efficace</t>
  </si>
  <si>
    <t>PM-06</t>
  </si>
  <si>
    <t>Tests</t>
  </si>
  <si>
    <t>Présence de tests unitaires et API</t>
  </si>
  <si>
    <t>Exécution tests</t>
  </si>
  <si>
    <t>Qualité logiciel</t>
  </si>
  <si>
    <t>PM-07</t>
  </si>
  <si>
    <t>Déploiement</t>
  </si>
  <si>
    <t>Application accessible en ligne</t>
  </si>
  <si>
    <t>Test URL</t>
  </si>
  <si>
    <t>Critère CV</t>
  </si>
  <si>
    <t>PM-08</t>
  </si>
  <si>
    <t>Dockerisation</t>
  </si>
  <si>
    <t>Application conteneurisée</t>
  </si>
  <si>
    <t>Test Docker</t>
  </si>
  <si>
    <t>Compétence DevOps</t>
  </si>
  <si>
    <t>PM-09</t>
  </si>
  <si>
    <t>CI/CD simple</t>
  </si>
  <si>
    <t>Optionnel</t>
  </si>
  <si>
    <t>Pipeline de build automatique</t>
  </si>
  <si>
    <t>Vérification GitHub Actions</t>
  </si>
  <si>
    <t>Niveau avancé</t>
  </si>
  <si>
    <t>PM-10</t>
  </si>
  <si>
    <t>Documentation API</t>
  </si>
  <si>
    <t>Documentation des endpoints (Swagger)</t>
  </si>
  <si>
    <t>Test Swagger</t>
  </si>
  <si>
    <t>Facilite usage</t>
  </si>
  <si>
    <t>PM-11</t>
  </si>
  <si>
    <t>Gestion des erreurs</t>
  </si>
  <si>
    <t>Logs et gestion propre des erreurs</t>
  </si>
  <si>
    <t>Test cas erreurs</t>
  </si>
  <si>
    <t>Robustesse</t>
  </si>
  <si>
    <t>PM-12</t>
  </si>
  <si>
    <t>Qualité du code</t>
  </si>
  <si>
    <t>Code lisible et maintenable</t>
  </si>
  <si>
    <t>Professionnalisme</t>
  </si>
  <si>
    <t>Début</t>
  </si>
  <si>
    <t>Fin</t>
  </si>
  <si>
    <t>Ressources</t>
  </si>
  <si>
    <t>Charge (h)</t>
  </si>
  <si>
    <t>T1</t>
  </si>
  <si>
    <t>Installation environnement (Java, IDE, Git)</t>
  </si>
  <si>
    <t>S1</t>
  </si>
  <si>
    <t>-</t>
  </si>
  <si>
    <t>IntelliJ, Git</t>
  </si>
  <si>
    <t>T2</t>
  </si>
  <si>
    <t>Révision Java (POO + collections)</t>
  </si>
  <si>
    <t>S2</t>
  </si>
  <si>
    <t>Java docs</t>
  </si>
  <si>
    <t>T3</t>
  </si>
  <si>
    <t>Bases SQL</t>
  </si>
  <si>
    <t>S3</t>
  </si>
  <si>
    <t>PostgreSQL</t>
  </si>
  <si>
    <t>T4</t>
  </si>
  <si>
    <t>HTTP + REST (théorie)</t>
  </si>
  <si>
    <t>S4</t>
  </si>
  <si>
    <t>Docs web</t>
  </si>
  <si>
    <t>T14</t>
  </si>
  <si>
    <t>Modélisation Booking</t>
  </si>
  <si>
    <t>S13</t>
  </si>
  <si>
    <t>T9</t>
  </si>
  <si>
    <t>JPA</t>
  </si>
  <si>
    <t>T15</t>
  </si>
  <si>
    <t>S14</t>
  </si>
  <si>
    <t>Service Layer</t>
  </si>
  <si>
    <t>T16</t>
  </si>
  <si>
    <t>S15</t>
  </si>
  <si>
    <t>Algorithme</t>
  </si>
  <si>
    <t>T17</t>
  </si>
  <si>
    <t>Modification / suppression réservation</t>
  </si>
  <si>
    <t>API</t>
  </si>
  <si>
    <t>T18</t>
  </si>
  <si>
    <t>Tests backend</t>
  </si>
  <si>
    <t>S16</t>
  </si>
  <si>
    <t>JUnit</t>
  </si>
  <si>
    <t>T10</t>
  </si>
  <si>
    <t>Authentification (login/register)</t>
  </si>
  <si>
    <t>S9</t>
  </si>
  <si>
    <t>Spring Security</t>
  </si>
  <si>
    <t>T11</t>
  </si>
  <si>
    <t>S10</t>
  </si>
  <si>
    <t>T12</t>
  </si>
  <si>
    <t>Sécurisation API</t>
  </si>
  <si>
    <t>S11</t>
  </si>
  <si>
    <t>JWT</t>
  </si>
  <si>
    <t>T13</t>
  </si>
  <si>
    <t>Validation + gestion erreurs</t>
  </si>
  <si>
    <t>S12</t>
  </si>
  <si>
    <t>Validation API</t>
  </si>
  <si>
    <t>T19</t>
  </si>
  <si>
    <t>Setup React</t>
  </si>
  <si>
    <t>S17</t>
  </si>
  <si>
    <t>T6</t>
  </si>
  <si>
    <t>React</t>
  </si>
  <si>
    <t>T20</t>
  </si>
  <si>
    <t>Appels API (fetch/axios)</t>
  </si>
  <si>
    <t>S18</t>
  </si>
  <si>
    <t>T21</t>
  </si>
  <si>
    <t>UI login/register</t>
  </si>
  <si>
    <t>T22</t>
  </si>
  <si>
    <t>Dashboard + liste objets</t>
  </si>
  <si>
    <t>S19</t>
  </si>
  <si>
    <t>T23</t>
  </si>
  <si>
    <t>Interface réservation</t>
  </si>
  <si>
    <t>S20</t>
  </si>
  <si>
    <t>T24</t>
  </si>
  <si>
    <t>CSS</t>
  </si>
  <si>
    <t>T25</t>
  </si>
  <si>
    <t>S21</t>
  </si>
  <si>
    <t>Docker</t>
  </si>
  <si>
    <t>T26</t>
  </si>
  <si>
    <t>S22</t>
  </si>
  <si>
    <t>Cloud</t>
  </si>
  <si>
    <t>T27</t>
  </si>
  <si>
    <t>S23</t>
  </si>
  <si>
    <t>GitHub</t>
  </si>
  <si>
    <t>T28</t>
  </si>
  <si>
    <t>Tests finaux</t>
  </si>
  <si>
    <t>S24</t>
  </si>
  <si>
    <t>T29</t>
  </si>
  <si>
    <t>Amélioration UI</t>
  </si>
  <si>
    <t>Phase 1: Fondations (Semaines 1-4)</t>
  </si>
  <si>
    <t>Phase 2: Backend Spring Boot (Semaine 5-8)</t>
  </si>
  <si>
    <t>T5</t>
  </si>
  <si>
    <t>Initialisation projet Spring Boot</t>
  </si>
  <si>
    <t>S5</t>
  </si>
  <si>
    <t>Spring Boot</t>
  </si>
  <si>
    <t>Création API REST (Controllers)</t>
  </si>
  <si>
    <t>S6</t>
  </si>
  <si>
    <t>Spring Web</t>
  </si>
  <si>
    <t>T7</t>
  </si>
  <si>
    <t>Connexion PostgreSQL</t>
  </si>
  <si>
    <t>T8</t>
  </si>
  <si>
    <t>JPA / Entities (User, WG, Item…)</t>
  </si>
  <si>
    <t>S7</t>
  </si>
  <si>
    <t>CRUD complet</t>
  </si>
  <si>
    <t>S8</t>
  </si>
  <si>
    <t>Spring Data</t>
  </si>
  <si>
    <t xml:space="preserve"> </t>
  </si>
  <si>
    <t>Phase 5: Frontend (Semaines 17-20)</t>
  </si>
  <si>
    <t>Phase 6: Finalisation (Semaines 21-24)</t>
  </si>
  <si>
    <t>Phase 3:  Sécurité (Semaines 9-12)</t>
  </si>
  <si>
    <t>Phase 4:  Logique métier (Semaine 13-16)</t>
  </si>
  <si>
    <t>Installation environnement (Java, IntelliJ, Git)</t>
  </si>
  <si>
    <t>S1-J1</t>
  </si>
  <si>
    <t>Java, IntelliJ, Git</t>
  </si>
  <si>
    <t>Configuration GitHub + premier repo</t>
  </si>
  <si>
    <t>S1-J2</t>
  </si>
  <si>
    <t>Java POO (classes, objets)</t>
  </si>
  <si>
    <t>S1-J3</t>
  </si>
  <si>
    <t>Java Docs</t>
  </si>
  <si>
    <t>Java POO (héritage, encapsulation)</t>
  </si>
  <si>
    <t>S1-J4</t>
  </si>
  <si>
    <t>Java POO (interfaces, abstraction)</t>
  </si>
  <si>
    <t>S1-J5</t>
  </si>
  <si>
    <t>Collections (List, ArrayList)</t>
  </si>
  <si>
    <t>S1-J6</t>
  </si>
  <si>
    <t>Collections (Map, Set)</t>
  </si>
  <si>
    <t>S1-J7</t>
  </si>
  <si>
    <t>Gestion des exceptions</t>
  </si>
  <si>
    <t>S2-J1</t>
  </si>
  <si>
    <t>Java avancé (Lambdas, Streams)</t>
  </si>
  <si>
    <t>S2-J2</t>
  </si>
  <si>
    <t>Exercices Java pratiques</t>
  </si>
  <si>
    <t>S2-J3</t>
  </si>
  <si>
    <t>LeetCode / Exercices</t>
  </si>
  <si>
    <t>SQL (SELECT, INSERT)</t>
  </si>
  <si>
    <t>S2-J4</t>
  </si>
  <si>
    <t>SQL (WHERE, ORDER BY)</t>
  </si>
  <si>
    <t>S2-J5</t>
  </si>
  <si>
    <t>SQL (JOIN)</t>
  </si>
  <si>
    <t>S2-J6</t>
  </si>
  <si>
    <t>SQL pratique (mini base)</t>
  </si>
  <si>
    <t>S2-J7</t>
  </si>
  <si>
    <t>HTTP (GET, POST)</t>
  </si>
  <si>
    <t>S3-J1</t>
  </si>
  <si>
    <t>Docs Web</t>
  </si>
  <si>
    <t>REST API concepts</t>
  </si>
  <si>
    <t>S3-J2</t>
  </si>
  <si>
    <t>Docs REST</t>
  </si>
  <si>
    <t>JSON (format, structure)</t>
  </si>
  <si>
    <t>S3-J3</t>
  </si>
  <si>
    <t>Docs JSON</t>
  </si>
  <si>
    <t>Test API (Postman)</t>
  </si>
  <si>
    <t>S3-J4</t>
  </si>
  <si>
    <t>Postman</t>
  </si>
  <si>
    <t>Mini projet API (simulation)</t>
  </si>
  <si>
    <t>S3-J5</t>
  </si>
  <si>
    <t>Cahier des charges</t>
  </si>
  <si>
    <t>Révision Java + SQL</t>
  </si>
  <si>
    <t>S3-J6</t>
  </si>
  <si>
    <t>Notes</t>
  </si>
  <si>
    <t>Révision HTTP + REST</t>
  </si>
  <si>
    <t>S3-J7</t>
  </si>
  <si>
    <t>Conception mini API</t>
  </si>
  <si>
    <t>S4-J1</t>
  </si>
  <si>
    <t>Papier / UML</t>
  </si>
  <si>
    <t>Définition endpoints</t>
  </si>
  <si>
    <t>S4-J2</t>
  </si>
  <si>
    <t>REST Docs</t>
  </si>
  <si>
    <t>Révision globale</t>
  </si>
  <si>
    <t>S4-J3</t>
  </si>
  <si>
    <t>Exercices combinés</t>
  </si>
  <si>
    <t>S4-J4</t>
  </si>
  <si>
    <t>Exercices</t>
  </si>
  <si>
    <t>Introduction Spring Boot</t>
  </si>
  <si>
    <t>S4-J5</t>
  </si>
  <si>
    <t>Spring Docs</t>
  </si>
  <si>
    <t>Architecture backend (MVC)</t>
  </si>
  <si>
    <t>S4-J6</t>
  </si>
  <si>
    <t>Docs Architecture</t>
  </si>
  <si>
    <t>Repos actif (vidéos + recap)</t>
  </si>
  <si>
    <t>S4-J7</t>
  </si>
  <si>
    <t>Vidéos</t>
  </si>
  <si>
    <t>Création projet Spring Boot</t>
  </si>
  <si>
    <t>S5-J1</t>
  </si>
  <si>
    <t>Spring Initializr</t>
  </si>
  <si>
    <t>T30</t>
  </si>
  <si>
    <t>Structure projet (Controller/Service)</t>
  </si>
  <si>
    <t>S5-J2</t>
  </si>
  <si>
    <t>T31</t>
  </si>
  <si>
    <t>Premier Controller (GET)</t>
  </si>
  <si>
    <t>S5-J3</t>
  </si>
  <si>
    <t>T32</t>
  </si>
  <si>
    <t>Endpoint POST</t>
  </si>
  <si>
    <t>S5-J4</t>
  </si>
  <si>
    <t>T33</t>
  </si>
  <si>
    <t>S5-J5</t>
  </si>
  <si>
    <t>T34</t>
  </si>
  <si>
    <t>Architecture propre</t>
  </si>
  <si>
    <t>S5-J6</t>
  </si>
  <si>
    <t>T35</t>
  </si>
  <si>
    <t>Révision API REST</t>
  </si>
  <si>
    <t>S5-J7</t>
  </si>
  <si>
    <t>T36</t>
  </si>
  <si>
    <t>Installation PostgreSQL</t>
  </si>
  <si>
    <t>S6-J1</t>
  </si>
  <si>
    <t>T37</t>
  </si>
  <si>
    <t>Connexion Spring Boot DB</t>
  </si>
  <si>
    <t>S6-J2</t>
  </si>
  <si>
    <t>T38</t>
  </si>
  <si>
    <t>Entity User</t>
  </si>
  <si>
    <t>S6-J3</t>
  </si>
  <si>
    <t>T39</t>
  </si>
  <si>
    <t>Entity WG</t>
  </si>
  <si>
    <t>S6-J4</t>
  </si>
  <si>
    <t>T40</t>
  </si>
  <si>
    <t>Entity Item</t>
  </si>
  <si>
    <t>S6-J5</t>
  </si>
  <si>
    <t>T41</t>
  </si>
  <si>
    <t>Entity Room</t>
  </si>
  <si>
    <t>S6-J6</t>
  </si>
  <si>
    <t>T42</t>
  </si>
  <si>
    <t>Révision JPA</t>
  </si>
  <si>
    <t>S6-J7</t>
  </si>
  <si>
    <t>T43</t>
  </si>
  <si>
    <t>Repository JPA</t>
  </si>
  <si>
    <t>S7-J1</t>
  </si>
  <si>
    <t>T44</t>
  </si>
  <si>
    <t>CRUD Create</t>
  </si>
  <si>
    <t>S7-J2</t>
  </si>
  <si>
    <t>T45</t>
  </si>
  <si>
    <t>CRUD Read</t>
  </si>
  <si>
    <t>S7-J3</t>
  </si>
  <si>
    <t>T46</t>
  </si>
  <si>
    <t>CRUD Update</t>
  </si>
  <si>
    <t>S7-J4</t>
  </si>
  <si>
    <t>T47</t>
  </si>
  <si>
    <t>CRUD Delete</t>
  </si>
  <si>
    <t>S7-J5</t>
  </si>
  <si>
    <t>T48</t>
  </si>
  <si>
    <t>Test CRUD API</t>
  </si>
  <si>
    <t>S7-J6</t>
  </si>
  <si>
    <t>T49</t>
  </si>
  <si>
    <t>Révision CRUD</t>
  </si>
  <si>
    <t>S7-J7</t>
  </si>
  <si>
    <t>T50</t>
  </si>
  <si>
    <t>Service layer (logique métier)</t>
  </si>
  <si>
    <t>S8-J1</t>
  </si>
  <si>
    <t>T51</t>
  </si>
  <si>
    <t>Validation (@Valid)</t>
  </si>
  <si>
    <t>S8-J2</t>
  </si>
  <si>
    <t>Spring Validation</t>
  </si>
  <si>
    <t>T52</t>
  </si>
  <si>
    <t>S8-J3</t>
  </si>
  <si>
    <t>T53</t>
  </si>
  <si>
    <t>Test API complet</t>
  </si>
  <si>
    <t>S8-J4</t>
  </si>
  <si>
    <t>T54</t>
  </si>
  <si>
    <t>Refactor code</t>
  </si>
  <si>
    <t>S8-J5</t>
  </si>
  <si>
    <t>Clean Code</t>
  </si>
  <si>
    <t>T55</t>
  </si>
  <si>
    <t>Révision Backend</t>
  </si>
  <si>
    <t>S8-J6</t>
  </si>
  <si>
    <t>T56</t>
  </si>
  <si>
    <t>Repos actif</t>
  </si>
  <si>
    <t>S8-J7</t>
  </si>
  <si>
    <t>T57</t>
  </si>
  <si>
    <t>Register API</t>
  </si>
  <si>
    <t>S9-J1</t>
  </si>
  <si>
    <t>T58</t>
  </si>
  <si>
    <t>Login API</t>
  </si>
  <si>
    <t>S9-J2</t>
  </si>
  <si>
    <t>T59</t>
  </si>
  <si>
    <t>Hash password</t>
  </si>
  <si>
    <t>S9-J3</t>
  </si>
  <si>
    <t>BCrypt</t>
  </si>
  <si>
    <t>T60</t>
  </si>
  <si>
    <t>Config Spring Security</t>
  </si>
  <si>
    <t>S9-J4</t>
  </si>
  <si>
    <t>T61</t>
  </si>
  <si>
    <t>Sécurisation endpoints</t>
  </si>
  <si>
    <t>S9-J5</t>
  </si>
  <si>
    <t>T62</t>
  </si>
  <si>
    <t>Test authentification</t>
  </si>
  <si>
    <t>S9-J6</t>
  </si>
  <si>
    <t>T63</t>
  </si>
  <si>
    <t>Révision sécurité</t>
  </si>
  <si>
    <t>S9-J7</t>
  </si>
  <si>
    <t>T64</t>
  </si>
  <si>
    <t>Gestion rôles USER/ADMIN</t>
  </si>
  <si>
    <t>S10-J1</t>
  </si>
  <si>
    <t>T65</t>
  </si>
  <si>
    <t>Permissions API</t>
  </si>
  <si>
    <t>S10-J2</t>
  </si>
  <si>
    <t>T66</t>
  </si>
  <si>
    <t>Introduction JWT</t>
  </si>
  <si>
    <t>S10-J3</t>
  </si>
  <si>
    <t>JWT Docs</t>
  </si>
  <si>
    <t>T67</t>
  </si>
  <si>
    <t>Génération token JWT</t>
  </si>
  <si>
    <t>S10-J4</t>
  </si>
  <si>
    <t>T68</t>
  </si>
  <si>
    <t>Validation token</t>
  </si>
  <si>
    <t>S10-J5</t>
  </si>
  <si>
    <t>T69</t>
  </si>
  <si>
    <t>S10-J6</t>
  </si>
  <si>
    <t>T70</t>
  </si>
  <si>
    <t>Révision JWT</t>
  </si>
  <si>
    <t>S10-J7</t>
  </si>
  <si>
    <t>T71</t>
  </si>
  <si>
    <t>Validation input</t>
  </si>
  <si>
    <t>S11-J1</t>
  </si>
  <si>
    <t>T72</t>
  </si>
  <si>
    <t>Gestion erreurs custom</t>
  </si>
  <si>
    <t>S11-J2</t>
  </si>
  <si>
    <t>T73</t>
  </si>
  <si>
    <t>Logging</t>
  </si>
  <si>
    <t>S11-J3</t>
  </si>
  <si>
    <t>Logback</t>
  </si>
  <si>
    <t>T74</t>
  </si>
  <si>
    <t>Test erreurs</t>
  </si>
  <si>
    <t>S11-J4</t>
  </si>
  <si>
    <t>T75</t>
  </si>
  <si>
    <t>S11-J5</t>
  </si>
  <si>
    <t>T76</t>
  </si>
  <si>
    <t>Optimisation code</t>
  </si>
  <si>
    <t>S11-J6</t>
  </si>
  <si>
    <t>T77</t>
  </si>
  <si>
    <t>S11-J7</t>
  </si>
  <si>
    <t>T78</t>
  </si>
  <si>
    <t>Test global sécurité</t>
  </si>
  <si>
    <t>S12-J1</t>
  </si>
  <si>
    <t>T79</t>
  </si>
  <si>
    <t>Fix bugs</t>
  </si>
  <si>
    <t>S12-J2</t>
  </si>
  <si>
    <t>Debug</t>
  </si>
  <si>
    <t>T80</t>
  </si>
  <si>
    <t>Révision générale</t>
  </si>
  <si>
    <t>S12-J3</t>
  </si>
  <si>
    <t>T81</t>
  </si>
  <si>
    <t>Préparation Booking</t>
  </si>
  <si>
    <t>S12-J4</t>
  </si>
  <si>
    <t>Design</t>
  </si>
  <si>
    <t>T82</t>
  </si>
  <si>
    <t>Design logique réservation</t>
  </si>
  <si>
    <t>S12-J5</t>
  </si>
  <si>
    <t>UML</t>
  </si>
  <si>
    <t>T83</t>
  </si>
  <si>
    <t>S12-J6</t>
  </si>
  <si>
    <t>T84</t>
  </si>
  <si>
    <t>Repos</t>
  </si>
  <si>
    <t>S12-J7</t>
  </si>
  <si>
    <t>T85</t>
  </si>
  <si>
    <t>Entity Booking</t>
  </si>
  <si>
    <t>S13-J1</t>
  </si>
  <si>
    <t>T86</t>
  </si>
  <si>
    <t>Relations (User-Booking)</t>
  </si>
  <si>
    <t>S13-J2</t>
  </si>
  <si>
    <t>T87</t>
  </si>
  <si>
    <t>Service réservation</t>
  </si>
  <si>
    <t>S13-J3</t>
  </si>
  <si>
    <t>T88</t>
  </si>
  <si>
    <t>API réservation</t>
  </si>
  <si>
    <t>S13-J4</t>
  </si>
  <si>
    <t>T89</t>
  </si>
  <si>
    <t>Test réservation</t>
  </si>
  <si>
    <t>S13-J5</t>
  </si>
  <si>
    <t>T90</t>
  </si>
  <si>
    <t>Révision logique</t>
  </si>
  <si>
    <t>S13-J6</t>
  </si>
  <si>
    <t>T91</t>
  </si>
  <si>
    <t>S13-J7</t>
  </si>
  <si>
    <t>T92</t>
  </si>
  <si>
    <t>Détection conflits</t>
  </si>
  <si>
    <t>S14-J1</t>
  </si>
  <si>
    <t>Logique</t>
  </si>
  <si>
    <t>T93</t>
  </si>
  <si>
    <t>Logique overlap</t>
  </si>
  <si>
    <t>S14-J2</t>
  </si>
  <si>
    <t>Algo</t>
  </si>
  <si>
    <t>T94</t>
  </si>
  <si>
    <t>Test conflits</t>
  </si>
  <si>
    <t>S14-J3</t>
  </si>
  <si>
    <t>T95</t>
  </si>
  <si>
    <t>Optimisation</t>
  </si>
  <si>
    <t>S14-J4</t>
  </si>
  <si>
    <t>Code</t>
  </si>
  <si>
    <t>T96</t>
  </si>
  <si>
    <t>Révision</t>
  </si>
  <si>
    <t>S14-J5</t>
  </si>
  <si>
    <t>T97</t>
  </si>
  <si>
    <t>Refactor</t>
  </si>
  <si>
    <t>S14-J6</t>
  </si>
  <si>
    <t>T98</t>
  </si>
  <si>
    <t>S14-J7</t>
  </si>
  <si>
    <t>T99</t>
  </si>
  <si>
    <t>Update réservation</t>
  </si>
  <si>
    <t>S15-J1</t>
  </si>
  <si>
    <t>T100</t>
  </si>
  <si>
    <t>Delete réservation</t>
  </si>
  <si>
    <t>S15-J2</t>
  </si>
  <si>
    <t>T101</t>
  </si>
  <si>
    <t>S15-J3</t>
  </si>
  <si>
    <t>T102</t>
  </si>
  <si>
    <t>S15-J4</t>
  </si>
  <si>
    <t>T103</t>
  </si>
  <si>
    <t>S15-J5</t>
  </si>
  <si>
    <t>T104</t>
  </si>
  <si>
    <t>Test global</t>
  </si>
  <si>
    <t>S15-J6</t>
  </si>
  <si>
    <t>T105</t>
  </si>
  <si>
    <t>S15-J7</t>
  </si>
  <si>
    <t>T106</t>
  </si>
  <si>
    <t>Tests JUnit</t>
  </si>
  <si>
    <t>S16-J1</t>
  </si>
  <si>
    <t>T107</t>
  </si>
  <si>
    <t>Tests intégration</t>
  </si>
  <si>
    <t>S16-J2</t>
  </si>
  <si>
    <t>Spring Test</t>
  </si>
  <si>
    <t>T108</t>
  </si>
  <si>
    <t>S16-J3</t>
  </si>
  <si>
    <t>T109</t>
  </si>
  <si>
    <t>Révision backend</t>
  </si>
  <si>
    <t>S16-J4</t>
  </si>
  <si>
    <t>T110</t>
  </si>
  <si>
    <t>Préparation frontend</t>
  </si>
  <si>
    <t>S16-J5</t>
  </si>
  <si>
    <t>Design UI</t>
  </si>
  <si>
    <t>T111</t>
  </si>
  <si>
    <t>S16-J6</t>
  </si>
  <si>
    <t>T112</t>
  </si>
  <si>
    <t>S16-J7</t>
  </si>
  <si>
    <t>T113</t>
  </si>
  <si>
    <t>S17-J1</t>
  </si>
  <si>
    <t>T114</t>
  </si>
  <si>
    <t>Structure frontend</t>
  </si>
  <si>
    <t>S17-J2</t>
  </si>
  <si>
    <t>T115</t>
  </si>
  <si>
    <t>Appels API</t>
  </si>
  <si>
    <t>S17-J3</t>
  </si>
  <si>
    <t>Axios</t>
  </si>
  <si>
    <t>T116</t>
  </si>
  <si>
    <t>S17-J4</t>
  </si>
  <si>
    <t>Backend</t>
  </si>
  <si>
    <t>T117</t>
  </si>
  <si>
    <t>UI Login</t>
  </si>
  <si>
    <t>S17-J5</t>
  </si>
  <si>
    <t>T118</t>
  </si>
  <si>
    <t>UI Register</t>
  </si>
  <si>
    <t>S17-J6</t>
  </si>
  <si>
    <t>T119</t>
  </si>
  <si>
    <t>S17-J7</t>
  </si>
  <si>
    <t>T120</t>
  </si>
  <si>
    <t>Dashboard</t>
  </si>
  <si>
    <t>S18-J1</t>
  </si>
  <si>
    <t>T121</t>
  </si>
  <si>
    <t>Liste objets</t>
  </si>
  <si>
    <t>S18-J2</t>
  </si>
  <si>
    <t>T122</t>
  </si>
  <si>
    <t>Liste espaces</t>
  </si>
  <si>
    <t>S18-J3</t>
  </si>
  <si>
    <t>T123</t>
  </si>
  <si>
    <t>Form réservation</t>
  </si>
  <si>
    <t>S18-J4</t>
  </si>
  <si>
    <t>T124</t>
  </si>
  <si>
    <t>S18-J5</t>
  </si>
  <si>
    <t>Frontend</t>
  </si>
  <si>
    <t>T125</t>
  </si>
  <si>
    <t>Révision UI</t>
  </si>
  <si>
    <t>S18-J6</t>
  </si>
  <si>
    <t>T126</t>
  </si>
  <si>
    <t>S18-J7</t>
  </si>
  <si>
    <t>T127</t>
  </si>
  <si>
    <t>Calendrier réservation</t>
  </si>
  <si>
    <t>S19-J1</t>
  </si>
  <si>
    <t>T128</t>
  </si>
  <si>
    <t>UX amélioration</t>
  </si>
  <si>
    <t>S19-J2</t>
  </si>
  <si>
    <t>UI/UX</t>
  </si>
  <si>
    <t>T129</t>
  </si>
  <si>
    <t>Gestion erreurs</t>
  </si>
  <si>
    <t>S19-J3</t>
  </si>
  <si>
    <t>T130</t>
  </si>
  <si>
    <t>Loading states</t>
  </si>
  <si>
    <t>S19-J4</t>
  </si>
  <si>
    <t>T131</t>
  </si>
  <si>
    <t>Test frontend</t>
  </si>
  <si>
    <t>S19-J5</t>
  </si>
  <si>
    <t>Test</t>
  </si>
  <si>
    <t>T132</t>
  </si>
  <si>
    <t>S19-J6</t>
  </si>
  <si>
    <t>T133</t>
  </si>
  <si>
    <t>S19-J7</t>
  </si>
  <si>
    <t>T134</t>
  </si>
  <si>
    <t>S20-J1</t>
  </si>
  <si>
    <t>T135</t>
  </si>
  <si>
    <t>Mobile UI</t>
  </si>
  <si>
    <t>S20-J2</t>
  </si>
  <si>
    <t>T136</t>
  </si>
  <si>
    <t>Tablette UI</t>
  </si>
  <si>
    <t>S20-J3</t>
  </si>
  <si>
    <t>T137</t>
  </si>
  <si>
    <t>S20-J4</t>
  </si>
  <si>
    <t>T138</t>
  </si>
  <si>
    <t>Optimisation UI</t>
  </si>
  <si>
    <t>S20-J5</t>
  </si>
  <si>
    <t>UI</t>
  </si>
  <si>
    <t>T139</t>
  </si>
  <si>
    <t>Révision frontend</t>
  </si>
  <si>
    <t>S20-J6</t>
  </si>
  <si>
    <t>T140</t>
  </si>
  <si>
    <t>S20-J7</t>
  </si>
  <si>
    <t>T141</t>
  </si>
  <si>
    <t>Introduction Docker</t>
  </si>
  <si>
    <t>S21-J1</t>
  </si>
  <si>
    <t>T142</t>
  </si>
  <si>
    <t>Docker backend</t>
  </si>
  <si>
    <t>S21-J2</t>
  </si>
  <si>
    <t>T143</t>
  </si>
  <si>
    <t>Docker DB</t>
  </si>
  <si>
    <t>S21-J3</t>
  </si>
  <si>
    <t>T144</t>
  </si>
  <si>
    <t>S21-J4</t>
  </si>
  <si>
    <t>T145</t>
  </si>
  <si>
    <t>Optimisation Docker</t>
  </si>
  <si>
    <t>S21-J5</t>
  </si>
  <si>
    <t>T146</t>
  </si>
  <si>
    <t>S21-J6</t>
  </si>
  <si>
    <t>T147</t>
  </si>
  <si>
    <t>S21-J7</t>
  </si>
  <si>
    <t>T148</t>
  </si>
  <si>
    <t>Déploiement backend</t>
  </si>
  <si>
    <t>S22-J1</t>
  </si>
  <si>
    <t>Render/Railway</t>
  </si>
  <si>
    <t>T149</t>
  </si>
  <si>
    <t>Déploiement frontend</t>
  </si>
  <si>
    <t>S22-J2</t>
  </si>
  <si>
    <t>Vercel</t>
  </si>
  <si>
    <t>T150</t>
  </si>
  <si>
    <t>Test production</t>
  </si>
  <si>
    <t>S22-J3</t>
  </si>
  <si>
    <t>T151</t>
  </si>
  <si>
    <t>S22-J4</t>
  </si>
  <si>
    <t>T152</t>
  </si>
  <si>
    <t>S22-J5</t>
  </si>
  <si>
    <t>T153</t>
  </si>
  <si>
    <t>S22-J6</t>
  </si>
  <si>
    <t>T154</t>
  </si>
  <si>
    <t>README projet</t>
  </si>
  <si>
    <t>S23-J1</t>
  </si>
  <si>
    <t>T155</t>
  </si>
  <si>
    <t>Screenshots</t>
  </si>
  <si>
    <t>S23-J2</t>
  </si>
  <si>
    <t>Docs</t>
  </si>
  <si>
    <t>T156</t>
  </si>
  <si>
    <t>S23-J3</t>
  </si>
  <si>
    <t>Swagger</t>
  </si>
  <si>
    <t>T157</t>
  </si>
  <si>
    <t>S23-J4</t>
  </si>
  <si>
    <t>T158</t>
  </si>
  <si>
    <t>Optimisation finale</t>
  </si>
  <si>
    <t>S23-J5</t>
  </si>
  <si>
    <t>T159</t>
  </si>
  <si>
    <t>S23-J6</t>
  </si>
  <si>
    <t>T160</t>
  </si>
  <si>
    <t>Préparation CV</t>
  </si>
  <si>
    <t>S24-J1</t>
  </si>
  <si>
    <t>CV</t>
  </si>
  <si>
    <t>T161</t>
  </si>
  <si>
    <t>Présentation projet</t>
  </si>
  <si>
    <t>S24-J2</t>
  </si>
  <si>
    <t>Portfolio</t>
  </si>
  <si>
    <t>T162</t>
  </si>
  <si>
    <t>Amélioration UI finale</t>
  </si>
  <si>
    <t>S24-J3</t>
  </si>
  <si>
    <t>T163</t>
  </si>
  <si>
    <t>Test final</t>
  </si>
  <si>
    <t>S24-J4</t>
  </si>
  <si>
    <t>T164</t>
  </si>
  <si>
    <t>Livraison projet</t>
  </si>
  <si>
    <t>S24-J5</t>
  </si>
  <si>
    <t>T165</t>
  </si>
  <si>
    <t>S24-J6</t>
  </si>
  <si>
    <t>T166</t>
  </si>
  <si>
    <t>S24-J7</t>
  </si>
  <si>
    <t>Phase 1</t>
  </si>
  <si>
    <t>Phase 2</t>
  </si>
  <si>
    <t>Phase 3</t>
  </si>
  <si>
    <t>Phase 4</t>
  </si>
  <si>
    <t>Phase 5</t>
  </si>
  <si>
    <t>Phase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</si>
</sst>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_-* #,##0\ &quot;F&quot;_-;\-* #,##0\ &quot;F&quot;_-;_-* &quot;-&quot;\ &quot;F&quot;_-;_-@_-"/>
    <numFmt numFmtId="165" formatCode="_-* #,##0\ _F_-;\-* #,##0\ _F_-;_-* &quot;-&quot;\ _F_-;_-@_-"/>
    <numFmt numFmtId="166" formatCode="#,##0&quot; h&quot;"/>
    <numFmt numFmtId="167" formatCode="mmm&quot; &quot;yy"/>
    <numFmt numFmtId="168" formatCode="#,##0.0&quot; déf/kLoc&quot;"/>
    <numFmt numFmtId="169" formatCode="#,##0.0&quot; h/déf&quot;"/>
    <numFmt numFmtId="170" formatCode="??0&quot; %&quot;"/>
    <numFmt numFmtId="171" formatCode="_-* #,##0.00\ [$€-1]_-;\-* #,##0.00\ [$€-1]_-;_-* &quot;-&quot;??\ [$€-1]_-"/>
    <numFmt numFmtId="172" formatCode="0.000"/>
    <numFmt numFmtId="173" formatCode="#\ ##0.##\j"/>
    <numFmt numFmtId="174" formatCode="#,##0_ ;[Red]\-#,##0\ "/>
    <numFmt numFmtId="175" formatCode="#,###,##0;[Red]\(#,###,##0\)"/>
    <numFmt numFmtId="176" formatCode="_(* #,##0.00_);_(* \(#,##0.00\);_(* &quot;-&quot;??_);_(@_)"/>
    <numFmt numFmtId="177" formatCode="_(&quot;$&quot;* #,##0.00_);_(&quot;$&quot;* \(#,##0.00\);_(&quot;$&quot;* &quot;-&quot;??_);_(@_)"/>
    <numFmt numFmtId="178" formatCode="\$#,##0;[Red]&quot;-$&quot;#,##0"/>
    <numFmt numFmtId="179" formatCode="0.0_)"/>
    <numFmt numFmtId="180" formatCode="\£#,##0;&quot;-£&quot;#,##0"/>
    <numFmt numFmtId="181" formatCode="\£#,##0;[Red]&quot;-£&quot;#,##0"/>
    <numFmt numFmtId="182" formatCode="&quot;Qty &quot;#_]"/>
    <numFmt numFmtId="183" formatCode="&quot;Station  &quot;#&quot;  Total Each :- &quot;"/>
    <numFmt numFmtId="184" formatCode="&quot;Station  &quot;#&quot; Grand Total :-&quot;"/>
    <numFmt numFmtId="185" formatCode="&quot;Item  &quot;#.##&quot;  Total  :-&quot;"/>
    <numFmt numFmtId="186" formatCode="#__\x_]"/>
    <numFmt numFmtId="187" formatCode="0.0"/>
    <numFmt numFmtId="188" formatCode="dd/mm/yy"/>
    <numFmt numFmtId="189" formatCode="#,##0.0"/>
    <numFmt numFmtId="190" formatCode="_-* #,##0.00\ [$€]_-;\-* #,##0.00\ [$€]_-;_-* &quot;-&quot;??\ [$€]_-;_-@_-"/>
    <numFmt numFmtId="191" formatCode="#,##0\ &quot;€&quot;"/>
    <numFmt numFmtId="192" formatCode="dd/mm/yy;@"/>
  </numFmts>
  <fonts count="95">
    <font>
      <sz val="10"/>
      <name val="Arial"/>
    </font>
    <font>
      <sz val="10"/>
      <name val="Arial"/>
      <family val="2"/>
    </font>
    <font>
      <b/>
      <sz val="10"/>
      <name val="Arial"/>
      <family val="2"/>
    </font>
    <font>
      <sz val="10"/>
      <name val="Arial"/>
      <family val="2"/>
    </font>
    <font>
      <b/>
      <sz val="14"/>
      <name val="Arial"/>
      <family val="2"/>
    </font>
    <font>
      <b/>
      <sz val="12"/>
      <name val="Arial"/>
      <family val="2"/>
    </font>
    <font>
      <b/>
      <sz val="18"/>
      <name val="Arial"/>
      <family val="2"/>
    </font>
    <font>
      <sz val="8"/>
      <name val="MS Sans Serif"/>
      <family val="2"/>
    </font>
    <font>
      <sz val="8"/>
      <name val="Arial"/>
      <family val="2"/>
    </font>
    <font>
      <sz val="8"/>
      <name val="Arial"/>
      <family val="2"/>
    </font>
    <font>
      <b/>
      <sz val="10"/>
      <name val="Arial"/>
      <family val="2"/>
    </font>
    <font>
      <b/>
      <sz val="8"/>
      <name val="Arial"/>
      <family val="2"/>
    </font>
    <font>
      <sz val="9"/>
      <name val="Arial"/>
      <family val="2"/>
    </font>
    <font>
      <b/>
      <sz val="9"/>
      <name val="Arial"/>
      <family val="2"/>
    </font>
    <font>
      <sz val="12"/>
      <name val="Arial"/>
      <family val="2"/>
    </font>
    <font>
      <sz val="14"/>
      <name val="Arial"/>
      <family val="2"/>
    </font>
    <font>
      <b/>
      <i/>
      <sz val="10"/>
      <name val="Arial"/>
      <family val="2"/>
    </font>
    <font>
      <b/>
      <u/>
      <sz val="10"/>
      <name val="Arial"/>
      <family val="2"/>
    </font>
    <font>
      <b/>
      <sz val="11"/>
      <name val="Arial"/>
      <family val="2"/>
    </font>
    <font>
      <b/>
      <sz val="14"/>
      <name val="Arial"/>
      <family val="2"/>
    </font>
    <font>
      <b/>
      <i/>
      <sz val="14"/>
      <name val="Arial"/>
      <family val="2"/>
    </font>
    <font>
      <u/>
      <sz val="10"/>
      <color indexed="12"/>
      <name val="Arial"/>
      <family val="2"/>
    </font>
    <font>
      <u/>
      <sz val="10"/>
      <color indexed="36"/>
      <name val="Arial"/>
      <family val="2"/>
    </font>
    <font>
      <i/>
      <sz val="12"/>
      <name val="Arial"/>
      <family val="2"/>
    </font>
    <font>
      <b/>
      <sz val="11"/>
      <color indexed="14"/>
      <name val="Arial"/>
      <family val="2"/>
    </font>
    <font>
      <sz val="8"/>
      <color indexed="9"/>
      <name val="Arial"/>
      <family val="2"/>
    </font>
    <font>
      <b/>
      <sz val="12"/>
      <color indexed="12"/>
      <name val="Arial"/>
      <family val="2"/>
    </font>
    <font>
      <b/>
      <sz val="8"/>
      <color indexed="12"/>
      <name val="Arial"/>
      <family val="2"/>
    </font>
    <font>
      <b/>
      <sz val="12"/>
      <color indexed="10"/>
      <name val="MS Sans Serif"/>
      <family val="2"/>
    </font>
    <font>
      <sz val="12"/>
      <name val="Times New Roman"/>
      <family val="1"/>
    </font>
    <font>
      <b/>
      <sz val="12"/>
      <name val="Arial"/>
      <family val="2"/>
    </font>
    <font>
      <i/>
      <sz val="12"/>
      <name val="Arial"/>
      <family val="2"/>
    </font>
    <font>
      <sz val="8"/>
      <color indexed="15"/>
      <name val="MS Sans Serif"/>
      <family val="2"/>
    </font>
    <font>
      <sz val="14"/>
      <color indexed="9"/>
      <name val="Arial"/>
      <family val="2"/>
    </font>
    <font>
      <sz val="10"/>
      <name val="Courier"/>
      <family val="3"/>
    </font>
    <font>
      <sz val="10"/>
      <name val="MS Sans Serif"/>
      <family val="2"/>
    </font>
    <font>
      <b/>
      <sz val="10"/>
      <name val="MS Sans Serif"/>
      <family val="2"/>
    </font>
    <font>
      <b/>
      <sz val="12"/>
      <color indexed="8"/>
      <name val="Arial"/>
      <family val="2"/>
    </font>
    <font>
      <b/>
      <i/>
      <sz val="12"/>
      <color indexed="8"/>
      <name val="Arial"/>
      <family val="2"/>
    </font>
    <font>
      <sz val="12"/>
      <color indexed="8"/>
      <name val="Arial"/>
      <family val="2"/>
    </font>
    <font>
      <sz val="10"/>
      <color indexed="8"/>
      <name val="Arial"/>
      <family val="2"/>
    </font>
    <font>
      <i/>
      <sz val="12"/>
      <color indexed="8"/>
      <name val="Arial"/>
      <family val="2"/>
    </font>
    <font>
      <sz val="8"/>
      <color indexed="8"/>
      <name val="Tahoma"/>
      <family val="2"/>
    </font>
    <font>
      <sz val="19"/>
      <color indexed="48"/>
      <name val="Arial"/>
      <family val="2"/>
    </font>
    <font>
      <sz val="12"/>
      <color indexed="14"/>
      <name val="Arial"/>
      <family val="2"/>
    </font>
    <font>
      <sz val="8"/>
      <color indexed="9"/>
      <name val="Arial"/>
      <family val="2"/>
    </font>
    <font>
      <b/>
      <sz val="8"/>
      <name val="Arial"/>
      <family val="2"/>
    </font>
    <font>
      <sz val="8"/>
      <name val="Times New Roman"/>
      <family val="1"/>
    </font>
    <font>
      <u/>
      <sz val="12"/>
      <name val="Arial"/>
      <family val="2"/>
    </font>
    <font>
      <b/>
      <sz val="8.5"/>
      <name val="LinePrinter"/>
    </font>
    <font>
      <u/>
      <sz val="12"/>
      <color indexed="12"/>
      <name val="Courier New"/>
      <family val="3"/>
    </font>
    <font>
      <sz val="11"/>
      <color indexed="8"/>
      <name val="Arial"/>
      <family val="2"/>
    </font>
    <font>
      <b/>
      <i/>
      <sz val="12"/>
      <color indexed="8"/>
      <name val="Arial"/>
      <family val="2"/>
    </font>
    <font>
      <b/>
      <sz val="11"/>
      <color indexed="63"/>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u/>
      <sz val="10"/>
      <color indexed="12"/>
      <name val="Arial"/>
      <family val="2"/>
    </font>
    <font>
      <b/>
      <sz val="10"/>
      <name val="MS Sans"/>
      <family val="2"/>
    </font>
    <font>
      <sz val="8"/>
      <name val="MS Sans Serif"/>
      <family val="2"/>
    </font>
    <font>
      <u/>
      <sz val="6"/>
      <color indexed="12"/>
      <name val="Arial"/>
      <family val="2"/>
    </font>
    <font>
      <strike/>
      <sz val="10"/>
      <name val="Arial"/>
      <family val="2"/>
    </font>
    <font>
      <sz val="10"/>
      <color indexed="62"/>
      <name val="Arial"/>
      <family val="2"/>
    </font>
    <font>
      <sz val="10"/>
      <name val="Arial Cyr"/>
      <family val="2"/>
      <charset val="204"/>
    </font>
    <font>
      <b/>
      <i/>
      <u/>
      <sz val="10"/>
      <color indexed="10"/>
      <name val="Arial"/>
      <family val="2"/>
    </font>
    <font>
      <sz val="10"/>
      <name val="Arial"/>
      <family val="2"/>
    </font>
    <font>
      <sz val="10"/>
      <name val="Arial"/>
      <family val="2"/>
    </font>
    <font>
      <u/>
      <sz val="6"/>
      <color indexed="12"/>
      <name val="Arial"/>
      <family val="2"/>
    </font>
    <font>
      <sz val="8"/>
      <name val="MS Sans Serif"/>
      <family val="2"/>
    </font>
    <font>
      <sz val="8"/>
      <name val="Arial"/>
      <family val="2"/>
    </font>
    <font>
      <b/>
      <sz val="12"/>
      <color indexed="12"/>
      <name val="Arial"/>
      <family val="2"/>
    </font>
    <font>
      <sz val="8"/>
      <color indexed="15"/>
      <name val="MS Sans Serif"/>
      <family val="2"/>
    </font>
    <font>
      <sz val="8"/>
      <color indexed="9"/>
      <name val="Arial"/>
      <family val="2"/>
    </font>
    <font>
      <b/>
      <sz val="8"/>
      <name val="Arial"/>
      <family val="2"/>
    </font>
    <font>
      <sz val="8"/>
      <name val="Times New Roman"/>
      <family val="1"/>
    </font>
    <font>
      <sz val="11"/>
      <name val="ＭＳ "/>
      <family val="3"/>
      <charset val="128"/>
    </font>
    <font>
      <sz val="10"/>
      <color indexed="10"/>
      <name val="Arial"/>
      <family val="2"/>
    </font>
    <font>
      <b/>
      <i/>
      <sz val="32"/>
      <name val="Arial MT"/>
      <family val="2"/>
    </font>
    <font>
      <sz val="11"/>
      <color theme="1"/>
      <name val="Arial"/>
      <family val="2"/>
    </font>
    <font>
      <sz val="11"/>
      <color theme="1"/>
      <name val="Calibri"/>
      <family val="2"/>
      <scheme val="minor"/>
    </font>
    <font>
      <sz val="8"/>
      <name val="Arial"/>
    </font>
  </fonts>
  <fills count="7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31"/>
        <bgColor indexed="58"/>
      </patternFill>
    </fill>
    <fill>
      <patternFill patternType="solid">
        <fgColor indexed="45"/>
        <bgColor indexed="33"/>
      </patternFill>
    </fill>
    <fill>
      <patternFill patternType="solid">
        <fgColor indexed="42"/>
        <bgColor indexed="27"/>
      </patternFill>
    </fill>
    <fill>
      <patternFill patternType="solid">
        <fgColor indexed="46"/>
        <bgColor indexed="33"/>
      </patternFill>
    </fill>
    <fill>
      <patternFill patternType="solid">
        <fgColor indexed="27"/>
        <bgColor indexed="42"/>
      </patternFill>
    </fill>
    <fill>
      <patternFill patternType="solid">
        <fgColor indexed="47"/>
        <bgColor indexed="3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4"/>
        <bgColor indexed="58"/>
      </patternFill>
    </fill>
    <fill>
      <patternFill patternType="solid">
        <fgColor indexed="29"/>
        <bgColor indexed="59"/>
      </patternFill>
    </fill>
    <fill>
      <patternFill patternType="solid">
        <fgColor indexed="11"/>
        <bgColor indexed="49"/>
      </patternFill>
    </fill>
    <fill>
      <patternFill patternType="solid">
        <fgColor indexed="51"/>
        <bgColor indexed="34"/>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0"/>
        <bgColor indexed="21"/>
      </patternFill>
    </fill>
    <fill>
      <patternFill patternType="solid">
        <fgColor indexed="20"/>
        <bgColor indexed="28"/>
      </patternFill>
    </fill>
    <fill>
      <patternFill patternType="solid">
        <fgColor indexed="49"/>
        <bgColor indexed="40"/>
      </patternFill>
    </fill>
    <fill>
      <patternFill patternType="solid">
        <fgColor indexed="52"/>
        <bgColor indexed="5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2"/>
        <bgColor indexed="36"/>
      </patternFill>
    </fill>
    <fill>
      <patternFill patternType="solid">
        <fgColor indexed="55"/>
        <bgColor indexed="23"/>
      </patternFill>
    </fill>
    <fill>
      <patternFill patternType="solid">
        <fgColor indexed="26"/>
      </patternFill>
    </fill>
    <fill>
      <patternFill patternType="solid">
        <fgColor indexed="42"/>
        <bgColor indexed="64"/>
      </patternFill>
    </fill>
    <fill>
      <patternFill patternType="solid">
        <fgColor indexed="43"/>
        <bgColor indexed="32"/>
      </patternFill>
    </fill>
    <fill>
      <patternFill patternType="solid">
        <fgColor indexed="40"/>
        <bgColor indexed="49"/>
      </patternFill>
    </fill>
    <fill>
      <patternFill patternType="solid">
        <fgColor indexed="18"/>
      </patternFill>
    </fill>
    <fill>
      <patternFill patternType="solid">
        <fgColor indexed="43"/>
      </patternFill>
    </fill>
    <fill>
      <patternFill patternType="solid">
        <fgColor indexed="62"/>
        <bgColor indexed="64"/>
      </patternFill>
    </fill>
    <fill>
      <patternFill patternType="solid">
        <fgColor indexed="44"/>
        <bgColor indexed="64"/>
      </patternFill>
    </fill>
    <fill>
      <patternFill patternType="solid">
        <fgColor indexed="26"/>
        <bgColor indexed="9"/>
      </patternFill>
    </fill>
    <fill>
      <patternFill patternType="solid">
        <fgColor indexed="15"/>
        <bgColor indexed="40"/>
      </patternFill>
    </fill>
    <fill>
      <patternFill patternType="solid">
        <fgColor indexed="22"/>
        <bgColor indexed="64"/>
      </patternFill>
    </fill>
    <fill>
      <patternFill patternType="mediumGray">
        <fgColor indexed="22"/>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1"/>
        <bgColor indexed="64"/>
      </patternFill>
    </fill>
    <fill>
      <patternFill patternType="solid">
        <fgColor indexed="40"/>
        <bgColor indexed="64"/>
      </patternFill>
    </fill>
    <fill>
      <patternFill patternType="solid">
        <fgColor indexed="55"/>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6" tint="0.39997558519241921"/>
        <bgColor indexed="19"/>
      </patternFill>
    </fill>
    <fill>
      <patternFill patternType="solid">
        <fgColor theme="9" tint="0.39997558519241921"/>
        <bgColor indexed="60"/>
      </patternFill>
    </fill>
    <fill>
      <patternFill patternType="solid">
        <fgColor rgb="FFCCFFCC"/>
        <bgColor indexed="64"/>
      </patternFill>
    </fill>
    <fill>
      <patternFill patternType="solid">
        <fgColor rgb="FFCCFFCC"/>
        <bgColor indexed="58"/>
      </patternFill>
    </fill>
    <fill>
      <patternFill patternType="solid">
        <fgColor rgb="FFFFFF99"/>
        <bgColor indexed="64"/>
      </patternFill>
    </fill>
    <fill>
      <patternFill patternType="solid">
        <fgColor theme="0" tint="-0.24994659260841701"/>
        <bgColor indexed="64"/>
      </patternFill>
    </fill>
    <fill>
      <patternFill patternType="solid">
        <fgColor theme="4" tint="0.39997558519241921"/>
        <bgColor indexed="42"/>
      </patternFill>
    </fill>
    <fill>
      <patternFill patternType="solid">
        <fgColor theme="6" tint="0.59999389629810485"/>
        <bgColor indexed="32"/>
      </patternFill>
    </fill>
    <fill>
      <patternFill patternType="solid">
        <fgColor rgb="FF95B3D7"/>
        <bgColor indexed="64"/>
      </patternFill>
    </fill>
    <fill>
      <patternFill patternType="solid">
        <fgColor theme="0"/>
        <bgColor indexed="64"/>
      </patternFill>
    </fill>
  </fills>
  <borders count="56">
    <border>
      <left/>
      <right/>
      <top/>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ck">
        <color indexed="64"/>
      </left>
      <right/>
      <top style="thick">
        <color indexed="64"/>
      </top>
      <bottom style="thick">
        <color indexed="64"/>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style="medium">
        <color indexed="8"/>
      </right>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double">
        <color indexed="8"/>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medium">
        <color indexed="8"/>
      </top>
      <bottom style="medium">
        <color indexed="8"/>
      </bottom>
      <diagonal/>
    </border>
    <border>
      <left style="medium">
        <color indexed="8"/>
      </left>
      <right style="thin">
        <color indexed="8"/>
      </right>
      <top style="thin">
        <color indexed="8"/>
      </top>
      <bottom style="thin">
        <color indexed="8"/>
      </bottom>
      <diagonal/>
    </border>
    <border>
      <left style="medium">
        <color indexed="64"/>
      </left>
      <right style="medium">
        <color indexed="64"/>
      </right>
      <top/>
      <bottom/>
      <diagonal/>
    </border>
    <border>
      <left/>
      <right/>
      <top style="thin">
        <color indexed="62"/>
      </top>
      <bottom style="double">
        <color indexed="62"/>
      </bottom>
      <diagonal/>
    </border>
    <border>
      <left style="thick">
        <color indexed="64"/>
      </left>
      <right style="thin">
        <color indexed="64"/>
      </right>
      <top style="thick">
        <color indexed="64"/>
      </top>
      <bottom/>
      <diagonal/>
    </border>
    <border>
      <left/>
      <right style="thick">
        <color indexed="64"/>
      </right>
      <top/>
      <bottom style="thick">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style="medium">
        <color indexed="8"/>
      </left>
      <right style="medium">
        <color indexed="8"/>
      </right>
      <top/>
      <bottom/>
      <diagonal/>
    </border>
    <border>
      <left style="medium">
        <color indexed="8"/>
      </left>
      <right style="medium">
        <color indexed="8"/>
      </right>
      <top/>
      <bottom style="thin">
        <color indexed="64"/>
      </bottom>
      <diagonal/>
    </border>
    <border>
      <left/>
      <right style="medium">
        <color indexed="8"/>
      </right>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22"/>
      </right>
      <top style="medium">
        <color indexed="64"/>
      </top>
      <bottom style="thin">
        <color indexed="22"/>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top style="medium">
        <color indexed="64"/>
      </top>
      <bottom/>
      <diagonal/>
    </border>
    <border>
      <left/>
      <right/>
      <top style="medium">
        <color indexed="64"/>
      </top>
      <bottom/>
      <diagonal/>
    </border>
  </borders>
  <cellStyleXfs count="1206">
    <xf numFmtId="0" fontId="0" fillId="0" borderId="0"/>
    <xf numFmtId="0" fontId="72" fillId="0" borderId="0" applyNumberFormat="0" applyFill="0" applyBorder="0" applyAlignment="0" applyProtection="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pplyNumberFormat="0" applyFill="0" applyBorder="0" applyProtection="0">
      <alignment horizontal="left" vertical="top" wrapText="1"/>
    </xf>
    <xf numFmtId="0" fontId="54" fillId="2" borderId="0" applyNumberFormat="0" applyBorder="0" applyAlignment="0" applyProtection="0"/>
    <xf numFmtId="0" fontId="54" fillId="2" borderId="0" applyNumberFormat="0" applyBorder="0" applyAlignment="0" applyProtection="0"/>
    <xf numFmtId="0" fontId="54" fillId="3" borderId="0" applyNumberFormat="0" applyBorder="0" applyAlignment="0" applyProtection="0"/>
    <xf numFmtId="0" fontId="54" fillId="3" borderId="0" applyNumberFormat="0" applyBorder="0" applyAlignment="0" applyProtection="0"/>
    <xf numFmtId="0" fontId="54" fillId="4" borderId="0" applyNumberFormat="0" applyBorder="0" applyAlignment="0" applyProtection="0"/>
    <xf numFmtId="0" fontId="54" fillId="4" borderId="0" applyNumberFormat="0" applyBorder="0" applyAlignment="0" applyProtection="0"/>
    <xf numFmtId="0" fontId="54" fillId="5" borderId="0" applyNumberFormat="0" applyBorder="0" applyAlignment="0" applyProtection="0"/>
    <xf numFmtId="0" fontId="54" fillId="5" borderId="0" applyNumberFormat="0" applyBorder="0" applyAlignment="0" applyProtection="0"/>
    <xf numFmtId="0" fontId="54" fillId="6" borderId="0" applyNumberFormat="0" applyBorder="0" applyAlignment="0" applyProtection="0"/>
    <xf numFmtId="0" fontId="54" fillId="6" borderId="0" applyNumberFormat="0" applyBorder="0" applyAlignment="0" applyProtection="0"/>
    <xf numFmtId="0" fontId="54" fillId="7" borderId="0" applyNumberFormat="0" applyBorder="0" applyAlignment="0" applyProtection="0"/>
    <xf numFmtId="0" fontId="54" fillId="7" borderId="0" applyNumberFormat="0" applyBorder="0" applyAlignment="0" applyProtection="0"/>
    <xf numFmtId="0" fontId="54" fillId="8" borderId="0" applyNumberFormat="0" applyBorder="0" applyAlignment="0" applyProtection="0"/>
    <xf numFmtId="0" fontId="54" fillId="9" borderId="0" applyNumberFormat="0" applyBorder="0" applyAlignment="0" applyProtection="0"/>
    <xf numFmtId="0" fontId="54" fillId="10" borderId="0" applyNumberFormat="0" applyBorder="0" applyAlignment="0" applyProtection="0"/>
    <xf numFmtId="0" fontId="54" fillId="11" borderId="0" applyNumberFormat="0" applyBorder="0" applyAlignment="0" applyProtection="0"/>
    <xf numFmtId="0" fontId="54" fillId="12"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6" borderId="0" applyNumberFormat="0" applyBorder="0" applyAlignment="0" applyProtection="0"/>
    <xf numFmtId="0" fontId="54" fillId="5" borderId="0" applyNumberFormat="0" applyBorder="0" applyAlignment="0" applyProtection="0"/>
    <xf numFmtId="0" fontId="54" fillId="5"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4" fillId="20" borderId="0" applyNumberFormat="0" applyBorder="0" applyAlignment="0" applyProtection="0"/>
    <xf numFmtId="0" fontId="54" fillId="11" borderId="0" applyNumberFormat="0" applyBorder="0" applyAlignment="0" applyProtection="0"/>
    <xf numFmtId="0" fontId="54" fillId="18" borderId="0" applyNumberFormat="0" applyBorder="0" applyAlignment="0" applyProtection="0"/>
    <xf numFmtId="0" fontId="54" fillId="21"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5" borderId="0" applyNumberFormat="0" applyBorder="0" applyAlignment="0" applyProtection="0"/>
    <xf numFmtId="0" fontId="55" fillId="25" borderId="0" applyNumberFormat="0" applyBorder="0" applyAlignment="0" applyProtection="0"/>
    <xf numFmtId="0" fontId="55" fillId="26" borderId="0" applyNumberFormat="0" applyBorder="0" applyAlignment="0" applyProtection="0"/>
    <xf numFmtId="0" fontId="55" fillId="19" borderId="0" applyNumberFormat="0" applyBorder="0" applyAlignment="0" applyProtection="0"/>
    <xf numFmtId="0" fontId="55" fillId="20" borderId="0" applyNumberFormat="0" applyBorder="0" applyAlignment="0" applyProtection="0"/>
    <xf numFmtId="0" fontId="55" fillId="27" borderId="0" applyNumberFormat="0" applyBorder="0" applyAlignment="0" applyProtection="0"/>
    <xf numFmtId="0" fontId="55" fillId="28" borderId="0" applyNumberFormat="0" applyBorder="0" applyAlignment="0" applyProtection="0"/>
    <xf numFmtId="0" fontId="55" fillId="29"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2" borderId="0" applyNumberFormat="0" applyBorder="0" applyAlignment="0" applyProtection="0"/>
    <xf numFmtId="0" fontId="55" fillId="32"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33" borderId="0" applyNumberFormat="0" applyBorder="0" applyAlignment="0" applyProtection="0"/>
    <xf numFmtId="0" fontId="55" fillId="33" borderId="0" applyNumberFormat="0" applyBorder="0" applyAlignment="0" applyProtection="0"/>
    <xf numFmtId="0" fontId="56" fillId="0" borderId="0" applyNumberFormat="0" applyFill="0" applyBorder="0" applyAlignment="0" applyProtection="0"/>
    <xf numFmtId="0" fontId="60" fillId="9" borderId="0" applyNumberFormat="0" applyBorder="0" applyAlignment="0" applyProtection="0"/>
    <xf numFmtId="0" fontId="3" fillId="0" borderId="1" applyNumberFormat="0" applyFill="0" applyAlignment="0" applyProtection="0"/>
    <xf numFmtId="0" fontId="3" fillId="0" borderId="2" applyNumberFormat="0" applyFill="0" applyAlignment="0" applyProtection="0"/>
    <xf numFmtId="0" fontId="3" fillId="0" borderId="0" applyNumberFormat="0" applyFill="0" applyAlignment="0" applyProtection="0"/>
    <xf numFmtId="0" fontId="24" fillId="0" borderId="3" applyNumberFormat="0" applyFill="0" applyBorder="0" applyProtection="0"/>
    <xf numFmtId="0" fontId="24" fillId="0" borderId="3" applyNumberFormat="0" applyFill="0" applyBorder="0" applyProtection="0"/>
    <xf numFmtId="0" fontId="24" fillId="0" borderId="3" applyNumberFormat="0" applyFill="0" applyBorder="0" applyProtection="0"/>
    <xf numFmtId="0" fontId="24" fillId="0" borderId="3" applyNumberFormat="0" applyFill="0" applyBorder="0" applyProtection="0"/>
    <xf numFmtId="0" fontId="25" fillId="0" borderId="0" applyNumberFormat="0" applyFill="0" applyBorder="0" applyAlignment="0"/>
    <xf numFmtId="0" fontId="57" fillId="34" borderId="4" applyNumberFormat="0" applyAlignment="0" applyProtection="0"/>
    <xf numFmtId="0" fontId="57" fillId="34" borderId="4" applyNumberFormat="0" applyAlignment="0" applyProtection="0"/>
    <xf numFmtId="0" fontId="57" fillId="35" borderId="4" applyNumberFormat="0" applyAlignment="0" applyProtection="0"/>
    <xf numFmtId="0" fontId="19" fillId="0" borderId="5" applyNumberFormat="0" applyBorder="0"/>
    <xf numFmtId="0" fontId="58" fillId="0" borderId="6" applyNumberFormat="0" applyFill="0" applyAlignment="0" applyProtection="0"/>
    <xf numFmtId="0" fontId="70" fillId="36" borderId="7" applyNumberFormat="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80" fillId="0" borderId="0" applyFont="0" applyFill="0" applyBorder="0" applyAlignment="0" applyProtection="0"/>
    <xf numFmtId="165" fontId="3" fillId="0" borderId="0" applyFont="0" applyFill="0" applyBorder="0" applyAlignment="0" applyProtection="0"/>
    <xf numFmtId="165" fontId="80" fillId="0" borderId="0" applyFont="0" applyFill="0" applyBorder="0" applyAlignment="0" applyProtection="0"/>
    <xf numFmtId="165" fontId="3" fillId="0" borderId="0" applyFont="0" applyFill="0" applyBorder="0" applyAlignment="0" applyProtection="0"/>
    <xf numFmtId="165" fontId="80" fillId="0" borderId="0" applyFont="0" applyFill="0" applyBorder="0" applyAlignment="0" applyProtection="0"/>
    <xf numFmtId="176" fontId="1" fillId="0" borderId="0" applyFont="0" applyFill="0" applyBorder="0" applyAlignment="0" applyProtection="0"/>
    <xf numFmtId="0" fontId="1" fillId="37" borderId="8" applyNumberFormat="0" applyFont="0" applyAlignment="0" applyProtection="0"/>
    <xf numFmtId="0" fontId="3" fillId="37" borderId="8" applyNumberFormat="0" applyFont="0" applyAlignment="0" applyProtection="0"/>
    <xf numFmtId="0" fontId="80" fillId="37" borderId="8" applyNumberFormat="0" applyFont="0" applyAlignment="0" applyProtection="0"/>
    <xf numFmtId="0" fontId="3" fillId="37" borderId="8" applyNumberFormat="0" applyFont="0" applyAlignment="0" applyProtection="0"/>
    <xf numFmtId="0" fontId="80" fillId="37" borderId="8" applyNumberFormat="0" applyFont="0" applyAlignment="0" applyProtection="0"/>
    <xf numFmtId="0" fontId="3" fillId="37" borderId="8" applyNumberFormat="0" applyFont="0" applyAlignment="0" applyProtection="0"/>
    <xf numFmtId="0" fontId="80" fillId="37" borderId="8" applyNumberFormat="0" applyFont="0" applyAlignment="0" applyProtection="0"/>
    <xf numFmtId="166" fontId="7" fillId="0" borderId="0" applyFont="0" applyFill="0" applyBorder="0">
      <alignment horizontal="right"/>
      <protection locked="0"/>
    </xf>
    <xf numFmtId="166" fontId="7" fillId="0" borderId="0" applyFont="0" applyFill="0" applyBorder="0">
      <alignment horizontal="right"/>
      <protection locked="0"/>
    </xf>
    <xf numFmtId="166" fontId="7" fillId="0" borderId="0" applyFont="0" applyFill="0" applyBorder="0">
      <alignment horizontal="right"/>
      <protection locked="0"/>
    </xf>
    <xf numFmtId="166" fontId="82" fillId="0" borderId="0" applyFont="0" applyFill="0" applyBorder="0">
      <alignment horizontal="right"/>
      <protection locked="0"/>
    </xf>
    <xf numFmtId="166" fontId="7" fillId="0" borderId="0" applyFont="0" applyFill="0" applyBorder="0">
      <alignment horizontal="right"/>
      <protection locked="0"/>
    </xf>
    <xf numFmtId="166" fontId="7" fillId="0" borderId="0" applyFont="0" applyFill="0" applyBorder="0">
      <alignment horizontal="right"/>
      <protection locked="0"/>
    </xf>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80" fillId="0" borderId="0" applyFont="0" applyFill="0" applyBorder="0" applyAlignment="0" applyProtection="0"/>
    <xf numFmtId="164" fontId="3" fillId="0" borderId="0" applyFont="0" applyFill="0" applyBorder="0" applyAlignment="0" applyProtection="0"/>
    <xf numFmtId="164" fontId="80" fillId="0" borderId="0" applyFont="0" applyFill="0" applyBorder="0" applyAlignment="0" applyProtection="0"/>
    <xf numFmtId="164" fontId="3" fillId="0" borderId="0" applyFont="0" applyFill="0" applyBorder="0" applyAlignment="0" applyProtection="0"/>
    <xf numFmtId="164" fontId="80" fillId="0" borderId="0" applyFont="0" applyFill="0" applyBorder="0" applyAlignment="0" applyProtection="0"/>
    <xf numFmtId="177" fontId="1" fillId="0" borderId="0" applyFont="0" applyFill="0" applyBorder="0" applyAlignment="0" applyProtection="0"/>
    <xf numFmtId="15" fontId="1" fillId="0" borderId="0" applyProtection="0"/>
    <xf numFmtId="15" fontId="3" fillId="0" borderId="0" applyProtection="0"/>
    <xf numFmtId="15" fontId="3" fillId="0" borderId="0" applyProtection="0"/>
    <xf numFmtId="15" fontId="3" fillId="0" borderId="0" applyProtection="0"/>
    <xf numFmtId="14" fontId="7" fillId="38" borderId="0" applyFont="0" applyBorder="0" applyAlignment="0">
      <alignment vertical="top"/>
    </xf>
    <xf numFmtId="14" fontId="7" fillId="38" borderId="0" applyFont="0" applyBorder="0" applyAlignment="0">
      <alignment vertical="top"/>
    </xf>
    <xf numFmtId="14" fontId="7" fillId="38" borderId="0" applyFont="0" applyBorder="0" applyAlignment="0">
      <alignment vertical="top"/>
    </xf>
    <xf numFmtId="14" fontId="82" fillId="38" borderId="0" applyFont="0" applyBorder="0" applyAlignment="0">
      <alignment vertical="top"/>
    </xf>
    <xf numFmtId="14" fontId="7" fillId="38" borderId="0" applyFont="0" applyBorder="0" applyAlignment="0">
      <alignment vertical="top"/>
    </xf>
    <xf numFmtId="14" fontId="7" fillId="38" borderId="0" applyFont="0" applyBorder="0" applyAlignment="0">
      <alignment vertical="top"/>
    </xf>
    <xf numFmtId="167" fontId="7" fillId="38" borderId="0" applyFont="0" applyBorder="0" applyAlignment="0">
      <alignment vertical="top"/>
    </xf>
    <xf numFmtId="167" fontId="7" fillId="38" borderId="0" applyFont="0" applyBorder="0" applyAlignment="0">
      <alignment vertical="top"/>
    </xf>
    <xf numFmtId="167" fontId="7" fillId="38" borderId="0" applyFont="0" applyBorder="0" applyAlignment="0">
      <alignment vertical="top"/>
    </xf>
    <xf numFmtId="167" fontId="82" fillId="38" borderId="0" applyFont="0" applyBorder="0" applyAlignment="0">
      <alignment vertical="top"/>
    </xf>
    <xf numFmtId="167" fontId="7" fillId="38" borderId="0" applyFont="0" applyBorder="0" applyAlignment="0">
      <alignment vertical="top"/>
    </xf>
    <xf numFmtId="167" fontId="7" fillId="38" borderId="0" applyFont="0" applyBorder="0" applyAlignment="0">
      <alignment vertical="top"/>
    </xf>
    <xf numFmtId="14" fontId="7" fillId="0" borderId="0" applyFont="0" applyFill="0" applyBorder="0" applyProtection="0">
      <alignment horizontal="center"/>
      <protection locked="0"/>
    </xf>
    <xf numFmtId="14" fontId="3" fillId="0" borderId="0" applyFill="0" applyBorder="0" applyProtection="0">
      <alignment horizontal="center"/>
    </xf>
    <xf numFmtId="14" fontId="3" fillId="0" borderId="0" applyFill="0" applyBorder="0" applyProtection="0">
      <alignment horizontal="center"/>
    </xf>
    <xf numFmtId="14" fontId="7" fillId="0" borderId="0" applyFont="0" applyFill="0" applyBorder="0" applyProtection="0">
      <alignment horizontal="center"/>
      <protection locked="0"/>
    </xf>
    <xf numFmtId="14" fontId="82" fillId="0" borderId="0" applyFont="0" applyFill="0" applyBorder="0" applyProtection="0">
      <alignment horizontal="center"/>
      <protection locked="0"/>
    </xf>
    <xf numFmtId="14" fontId="7" fillId="0" borderId="0" applyFont="0" applyFill="0" applyBorder="0" applyProtection="0">
      <alignment horizontal="center"/>
      <protection locked="0"/>
    </xf>
    <xf numFmtId="14" fontId="7" fillId="0" borderId="0" applyFont="0" applyFill="0" applyBorder="0" applyProtection="0">
      <alignment horizontal="center"/>
      <protection locked="0"/>
    </xf>
    <xf numFmtId="14" fontId="3" fillId="0" borderId="0" applyFill="0" applyBorder="0" applyProtection="0">
      <alignment horizontal="center"/>
    </xf>
    <xf numFmtId="14" fontId="2" fillId="39" borderId="9">
      <alignment horizontal="right" vertical="center"/>
    </xf>
    <xf numFmtId="14" fontId="49" fillId="0" borderId="10"/>
    <xf numFmtId="167" fontId="1" fillId="38" borderId="11">
      <alignment horizontal="center"/>
    </xf>
    <xf numFmtId="167" fontId="3" fillId="38" borderId="11">
      <alignment horizontal="center"/>
    </xf>
    <xf numFmtId="167" fontId="3" fillId="38" borderId="11">
      <alignment horizontal="center"/>
    </xf>
    <xf numFmtId="167" fontId="3" fillId="38" borderId="11">
      <alignment horizontal="center"/>
    </xf>
    <xf numFmtId="167" fontId="3" fillId="38" borderId="11">
      <alignment horizontal="center"/>
    </xf>
    <xf numFmtId="0" fontId="3" fillId="0" borderId="0">
      <alignment vertical="top"/>
    </xf>
    <xf numFmtId="168" fontId="8" fillId="0" borderId="0" applyFill="0" applyBorder="0">
      <alignment horizontal="right"/>
    </xf>
    <xf numFmtId="0" fontId="1" fillId="0" borderId="0" applyBorder="0">
      <alignment vertical="top" wrapText="1"/>
    </xf>
    <xf numFmtId="0" fontId="3" fillId="0" borderId="0" applyBorder="0">
      <alignment vertical="top" wrapText="1"/>
    </xf>
    <xf numFmtId="0" fontId="3" fillId="0" borderId="0" applyBorder="0">
      <alignment vertical="top" wrapText="1"/>
    </xf>
    <xf numFmtId="0" fontId="3" fillId="0" borderId="0" applyBorder="0">
      <alignment vertical="top" wrapText="1"/>
    </xf>
    <xf numFmtId="0" fontId="3" fillId="0" borderId="0" applyBorder="0">
      <alignment vertical="top" wrapText="1"/>
    </xf>
    <xf numFmtId="178" fontId="1" fillId="0" borderId="0" applyFill="0" applyBorder="0" applyAlignment="0" applyProtection="0"/>
    <xf numFmtId="178" fontId="3" fillId="0" borderId="0" applyFill="0" applyBorder="0" applyAlignment="0" applyProtection="0"/>
    <xf numFmtId="178" fontId="3" fillId="0" borderId="0" applyFill="0" applyBorder="0" applyAlignment="0" applyProtection="0"/>
    <xf numFmtId="178" fontId="3" fillId="0" borderId="0" applyFill="0" applyBorder="0" applyAlignment="0" applyProtection="0"/>
    <xf numFmtId="178" fontId="3" fillId="0" borderId="0" applyFill="0" applyBorder="0" applyAlignment="0" applyProtection="0"/>
    <xf numFmtId="0" fontId="9" fillId="0" borderId="12" applyBorder="0"/>
    <xf numFmtId="0" fontId="8" fillId="0" borderId="12" applyBorder="0"/>
    <xf numFmtId="0" fontId="83" fillId="0" borderId="12" applyBorder="0"/>
    <xf numFmtId="0" fontId="8" fillId="0" borderId="12" applyBorder="0"/>
    <xf numFmtId="0" fontId="8" fillId="0" borderId="12" applyBorder="0"/>
    <xf numFmtId="0" fontId="8" fillId="0" borderId="12" applyBorder="0"/>
    <xf numFmtId="0" fontId="8" fillId="0" borderId="12" applyBorder="0"/>
    <xf numFmtId="0" fontId="59" fillId="7" borderId="4" applyNumberFormat="0" applyAlignment="0" applyProtection="0"/>
    <xf numFmtId="0" fontId="59" fillId="7" borderId="4" applyNumberFormat="0" applyAlignment="0" applyProtection="0"/>
    <xf numFmtId="171" fontId="1"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90" fontId="3" fillId="0" borderId="0" applyFont="0" applyFill="0" applyBorder="0" applyAlignment="0" applyProtection="0"/>
    <xf numFmtId="171" fontId="80" fillId="0" borderId="0" applyFont="0" applyFill="0" applyBorder="0" applyAlignment="0" applyProtection="0"/>
    <xf numFmtId="171" fontId="3" fillId="0" borderId="0" applyFont="0" applyFill="0" applyBorder="0" applyAlignment="0" applyProtection="0"/>
    <xf numFmtId="171" fontId="80" fillId="0" borderId="0" applyFont="0" applyFill="0" applyBorder="0" applyAlignment="0" applyProtection="0"/>
    <xf numFmtId="171" fontId="3" fillId="0" borderId="0" applyFont="0" applyFill="0" applyBorder="0" applyAlignment="0" applyProtection="0"/>
    <xf numFmtId="171" fontId="80" fillId="0" borderId="0" applyFont="0" applyFill="0" applyBorder="0" applyAlignment="0" applyProtection="0"/>
    <xf numFmtId="0" fontId="64" fillId="0" borderId="0" applyNumberFormat="0" applyFill="0" applyBorder="0" applyAlignment="0" applyProtection="0"/>
    <xf numFmtId="0" fontId="26" fillId="0" borderId="0" applyNumberFormat="0" applyFont="0" applyFill="0" applyBorder="0" applyAlignment="0">
      <alignment horizontal="left" vertical="top"/>
    </xf>
    <xf numFmtId="0" fontId="26" fillId="0" borderId="0" applyNumberFormat="0" applyFont="0" applyFill="0" applyBorder="0" applyAlignment="0">
      <alignment horizontal="left" vertical="top"/>
    </xf>
    <xf numFmtId="0" fontId="26" fillId="0" borderId="0" applyNumberFormat="0" applyFont="0" applyFill="0" applyBorder="0" applyAlignment="0">
      <alignment horizontal="left" vertical="top"/>
    </xf>
    <xf numFmtId="0" fontId="84" fillId="0" borderId="0" applyNumberFormat="0" applyFont="0" applyFill="0" applyBorder="0" applyAlignment="0">
      <alignment horizontal="left" vertical="top"/>
    </xf>
    <xf numFmtId="0" fontId="26" fillId="0" borderId="0" applyNumberFormat="0" applyFont="0" applyFill="0" applyBorder="0" applyAlignment="0">
      <alignment horizontal="left" vertical="top"/>
    </xf>
    <xf numFmtId="0" fontId="26" fillId="0" borderId="0" applyNumberFormat="0" applyFont="0" applyFill="0" applyBorder="0" applyAlignment="0">
      <alignment horizontal="left" vertical="top"/>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62" fillId="10" borderId="0" applyNumberFormat="0" applyBorder="0" applyAlignment="0" applyProtection="0"/>
    <xf numFmtId="0" fontId="27" fillId="0" borderId="0" applyNumberFormat="0" applyFill="0" applyBorder="0" applyProtection="0"/>
    <xf numFmtId="0" fontId="27" fillId="0" borderId="0" applyNumberFormat="0" applyFill="0" applyBorder="0" applyProtection="0"/>
    <xf numFmtId="0" fontId="27" fillId="0" borderId="0" applyNumberFormat="0" applyFill="0" applyBorder="0" applyProtection="0"/>
    <xf numFmtId="0" fontId="27" fillId="0" borderId="0" applyNumberFormat="0" applyFill="0" applyBorder="0" applyProtection="0"/>
    <xf numFmtId="169" fontId="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8"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5"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0" fontId="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5"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12" fillId="0" borderId="0" applyFill="0" applyBorder="0">
      <alignment horizontal="right"/>
      <protection locked="0"/>
    </xf>
    <xf numFmtId="169" fontId="2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8" fillId="0" borderId="0" applyFill="0" applyBorder="0">
      <alignment horizontal="right"/>
      <protection locked="0"/>
    </xf>
    <xf numFmtId="169" fontId="2"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0" fontId="66" fillId="0" borderId="13" applyNumberFormat="0" applyFill="0" applyAlignment="0" applyProtection="0"/>
    <xf numFmtId="0" fontId="67" fillId="0" borderId="14" applyNumberFormat="0" applyFill="0" applyAlignment="0" applyProtection="0"/>
    <xf numFmtId="0" fontId="68" fillId="0" borderId="15" applyNumberFormat="0" applyFill="0" applyAlignment="0" applyProtection="0"/>
    <xf numFmtId="0" fontId="68" fillId="0" borderId="0" applyNumberFormat="0" applyFill="0" applyBorder="0" applyAlignment="0" applyProtection="0"/>
    <xf numFmtId="0" fontId="50" fillId="40" borderId="16">
      <alignment horizontal="center" vertical="center"/>
    </xf>
    <xf numFmtId="0" fontId="50" fillId="40" borderId="16">
      <alignment horizontal="center" vertical="center"/>
    </xf>
    <xf numFmtId="0" fontId="50" fillId="40" borderId="16">
      <alignment horizontal="center" vertical="center"/>
    </xf>
    <xf numFmtId="0" fontId="50" fillId="40" borderId="16">
      <alignment horizontal="center" vertical="center"/>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59" fillId="13" borderId="4" applyNumberFormat="0" applyAlignment="0" applyProtection="0"/>
    <xf numFmtId="0" fontId="60" fillId="3" borderId="0" applyNumberFormat="0" applyBorder="0" applyAlignment="0" applyProtection="0"/>
    <xf numFmtId="0" fontId="60" fillId="3" borderId="0" applyNumberFormat="0" applyBorder="0" applyAlignment="0" applyProtection="0"/>
    <xf numFmtId="179" fontId="1" fillId="0" borderId="0">
      <alignment horizontal="center" vertical="top"/>
    </xf>
    <xf numFmtId="179" fontId="3" fillId="0" borderId="0">
      <alignment horizontal="center" vertical="top"/>
    </xf>
    <xf numFmtId="179" fontId="3" fillId="0" borderId="0">
      <alignment horizontal="center" vertical="top"/>
    </xf>
    <xf numFmtId="179" fontId="3" fillId="0" borderId="0">
      <alignment horizontal="center" vertical="top"/>
    </xf>
    <xf numFmtId="179" fontId="3" fillId="0" borderId="0">
      <alignment horizontal="center" vertical="top"/>
    </xf>
    <xf numFmtId="174" fontId="29" fillId="0" borderId="17">
      <alignment horizontal="center" vertical="center"/>
    </xf>
    <xf numFmtId="172" fontId="30" fillId="0" borderId="18">
      <alignment horizontal="left"/>
    </xf>
    <xf numFmtId="172" fontId="5" fillId="0" borderId="18">
      <alignment horizontal="left"/>
    </xf>
    <xf numFmtId="172" fontId="5" fillId="0" borderId="18">
      <alignment horizontal="left"/>
    </xf>
    <xf numFmtId="172" fontId="14" fillId="0" borderId="17">
      <alignment horizontal="center"/>
    </xf>
    <xf numFmtId="172" fontId="14" fillId="0" borderId="17"/>
    <xf numFmtId="172" fontId="31" fillId="0" borderId="17">
      <alignment horizontal="left"/>
    </xf>
    <xf numFmtId="172" fontId="23" fillId="0" borderId="17">
      <alignment horizontal="left"/>
    </xf>
    <xf numFmtId="172" fontId="23" fillId="0" borderId="17">
      <alignment horizontal="left"/>
    </xf>
    <xf numFmtId="172" fontId="23" fillId="0" borderId="17">
      <alignment horizontal="left"/>
    </xf>
    <xf numFmtId="172" fontId="31" fillId="0" borderId="17"/>
    <xf numFmtId="172" fontId="23" fillId="0" borderId="17"/>
    <xf numFmtId="172" fontId="23" fillId="0" borderId="17"/>
    <xf numFmtId="172" fontId="23" fillId="0" borderId="17"/>
    <xf numFmtId="0" fontId="74" fillId="0" borderId="0" applyNumberFormat="0" applyFill="0" applyBorder="0" applyAlignment="0" applyProtection="0"/>
    <xf numFmtId="0" fontId="74" fillId="0" borderId="0" applyNumberFormat="0" applyFill="0" applyBorder="0" applyAlignment="0" applyProtection="0">
      <alignment vertical="top"/>
      <protection locked="0"/>
    </xf>
    <xf numFmtId="0" fontId="71" fillId="0" borderId="0" applyNumberFormat="0" applyFill="0" applyBorder="0" applyAlignment="0" applyProtection="0"/>
    <xf numFmtId="0" fontId="2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4"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21" fillId="0" borderId="0" applyNumberFormat="0" applyFill="0" applyBorder="0" applyAlignment="0" applyProtection="0"/>
    <xf numFmtId="0" fontId="21" fillId="0" borderId="0" applyNumberFormat="0" applyFill="0" applyBorder="0" applyAlignment="0" applyProtection="0"/>
    <xf numFmtId="0" fontId="58" fillId="0" borderId="6" applyNumberFormat="0" applyFill="0" applyAlignment="0" applyProtection="0"/>
    <xf numFmtId="0" fontId="32" fillId="41" borderId="0"/>
    <xf numFmtId="0" fontId="32" fillId="41" borderId="0"/>
    <xf numFmtId="0" fontId="32" fillId="41" borderId="0"/>
    <xf numFmtId="0" fontId="85" fillId="41" borderId="0"/>
    <xf numFmtId="0" fontId="32" fillId="41" borderId="0"/>
    <xf numFmtId="0" fontId="32" fillId="41" borderId="0"/>
    <xf numFmtId="0" fontId="32" fillId="41" borderId="0"/>
    <xf numFmtId="180" fontId="1" fillId="0" borderId="0" applyBorder="0">
      <alignment vertical="top"/>
    </xf>
    <xf numFmtId="180" fontId="3" fillId="0" borderId="0" applyBorder="0">
      <alignment vertical="top"/>
    </xf>
    <xf numFmtId="180" fontId="3" fillId="0" borderId="0" applyBorder="0">
      <alignment vertical="top"/>
    </xf>
    <xf numFmtId="180" fontId="3" fillId="0" borderId="0" applyBorder="0">
      <alignment vertical="top"/>
    </xf>
    <xf numFmtId="180" fontId="3" fillId="0" borderId="0" applyBorder="0">
      <alignment vertical="top"/>
    </xf>
    <xf numFmtId="0" fontId="61" fillId="42" borderId="0" applyNumberFormat="0" applyBorder="0" applyAlignment="0" applyProtection="0"/>
    <xf numFmtId="0" fontId="61" fillId="42" borderId="0" applyNumberFormat="0" applyBorder="0" applyAlignment="0" applyProtection="0"/>
    <xf numFmtId="0" fontId="33" fillId="43" borderId="0">
      <alignment vertical="center"/>
    </xf>
    <xf numFmtId="0" fontId="10" fillId="44" borderId="19">
      <alignment vertical="center" wrapText="1"/>
    </xf>
    <xf numFmtId="0" fontId="3" fillId="0" borderId="0"/>
    <xf numFmtId="0" fontId="11" fillId="0" borderId="0">
      <alignment horizontal="center"/>
    </xf>
    <xf numFmtId="175" fontId="9" fillId="0" borderId="0"/>
    <xf numFmtId="175" fontId="8" fillId="0" borderId="0"/>
    <xf numFmtId="175" fontId="8" fillId="0" borderId="0"/>
    <xf numFmtId="0" fontId="3" fillId="0" borderId="0">
      <alignment horizontal="left"/>
      <protection locked="0"/>
    </xf>
    <xf numFmtId="0" fontId="34" fillId="0" borderId="0"/>
    <xf numFmtId="0" fontId="34" fillId="0" borderId="0"/>
    <xf numFmtId="0" fontId="34" fillId="0" borderId="0"/>
    <xf numFmtId="0" fontId="34" fillId="0" borderId="0"/>
    <xf numFmtId="0" fontId="7" fillId="38" borderId="0" applyNumberFormat="0" applyFont="0" applyBorder="0" applyAlignment="0">
      <alignment vertical="top"/>
    </xf>
    <xf numFmtId="0" fontId="7" fillId="38" borderId="0" applyNumberFormat="0" applyFont="0" applyBorder="0" applyAlignment="0">
      <alignment vertical="top"/>
    </xf>
    <xf numFmtId="0" fontId="7" fillId="38" borderId="0" applyNumberFormat="0" applyFont="0" applyBorder="0" applyAlignment="0">
      <alignment vertical="top"/>
    </xf>
    <xf numFmtId="0" fontId="82" fillId="38" borderId="0" applyNumberFormat="0" applyFont="0" applyBorder="0" applyAlignment="0">
      <alignment vertical="top"/>
    </xf>
    <xf numFmtId="0" fontId="7" fillId="38" borderId="0" applyNumberFormat="0" applyFont="0" applyBorder="0" applyAlignment="0">
      <alignment vertical="top"/>
    </xf>
    <xf numFmtId="0" fontId="7" fillId="38" borderId="0" applyNumberFormat="0" applyFont="0" applyBorder="0" applyAlignment="0">
      <alignment vertical="top"/>
    </xf>
    <xf numFmtId="0" fontId="3" fillId="0" borderId="0"/>
    <xf numFmtId="0" fontId="51" fillId="0" borderId="0"/>
    <xf numFmtId="0" fontId="92" fillId="0" borderId="0"/>
    <xf numFmtId="0" fontId="3" fillId="0" borderId="0"/>
    <xf numFmtId="0" fontId="54" fillId="0" borderId="0"/>
    <xf numFmtId="0" fontId="93" fillId="0" borderId="0"/>
    <xf numFmtId="0" fontId="3" fillId="0" borderId="0"/>
    <xf numFmtId="0" fontId="9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5" borderId="8" applyNumberFormat="0" applyAlignment="0" applyProtection="0"/>
    <xf numFmtId="0" fontId="75" fillId="46" borderId="0"/>
    <xf numFmtId="0" fontId="51" fillId="0" borderId="0" applyNumberFormat="0">
      <alignment vertical="top" wrapText="1"/>
      <protection locked="0"/>
    </xf>
    <xf numFmtId="0" fontId="63" fillId="35" borderId="20" applyNumberFormat="0" applyAlignment="0" applyProtection="0"/>
    <xf numFmtId="0" fontId="10" fillId="47" borderId="0" applyNumberFormat="0" applyProtection="0">
      <alignment vertical="center"/>
    </xf>
    <xf numFmtId="0" fontId="2" fillId="47" borderId="0" applyNumberFormat="0" applyProtection="0">
      <alignment vertical="center"/>
    </xf>
    <xf numFmtId="0" fontId="2" fillId="47" borderId="0" applyNumberFormat="0" applyProtection="0">
      <alignment vertical="center"/>
    </xf>
    <xf numFmtId="9" fontId="1" fillId="0" borderId="0" applyFill="0" applyBorder="0" applyAlignment="0" applyProtection="0"/>
    <xf numFmtId="181" fontId="1" fillId="0" borderId="0" applyFill="0" applyBorder="0" applyProtection="0">
      <alignment vertical="top"/>
    </xf>
    <xf numFmtId="181" fontId="3" fillId="0" borderId="0" applyFill="0" applyBorder="0" applyProtection="0">
      <alignment vertical="top"/>
    </xf>
    <xf numFmtId="181" fontId="3" fillId="0" borderId="0" applyFill="0" applyBorder="0" applyProtection="0">
      <alignment vertical="top"/>
    </xf>
    <xf numFmtId="181" fontId="3" fillId="0" borderId="0" applyFill="0" applyBorder="0" applyProtection="0">
      <alignment vertical="top"/>
    </xf>
    <xf numFmtId="181" fontId="3" fillId="0" borderId="0" applyFill="0" applyBorder="0" applyProtection="0">
      <alignment vertical="top"/>
    </xf>
    <xf numFmtId="181" fontId="5" fillId="0" borderId="0" applyFill="0" applyBorder="0" applyProtection="0">
      <alignment vertical="top"/>
    </xf>
    <xf numFmtId="9" fontId="3" fillId="0" borderId="0" applyFill="0" applyBorder="0" applyAlignment="0" applyProtection="0"/>
    <xf numFmtId="9" fontId="3" fillId="0" borderId="0" applyFont="0" applyFill="0" applyBorder="0" applyAlignment="0" applyProtection="0"/>
    <xf numFmtId="9" fontId="3" fillId="0" borderId="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8" fillId="0" borderId="0" applyFont="0" applyFill="0" applyBorder="0">
      <alignment horizontal="right"/>
      <protection locked="0"/>
    </xf>
    <xf numFmtId="0" fontId="35" fillId="0" borderId="0" applyNumberFormat="0" applyFont="0" applyFill="0" applyBorder="0" applyAlignment="0" applyProtection="0">
      <alignment horizontal="left"/>
    </xf>
    <xf numFmtId="0" fontId="35" fillId="0" borderId="0" applyNumberFormat="0" applyFont="0" applyFill="0" applyBorder="0" applyAlignment="0" applyProtection="0">
      <alignment horizontal="left"/>
    </xf>
    <xf numFmtId="0" fontId="35" fillId="0" borderId="0" applyNumberFormat="0" applyFont="0" applyFill="0" applyBorder="0" applyAlignment="0" applyProtection="0">
      <alignment horizontal="left"/>
    </xf>
    <xf numFmtId="15" fontId="35" fillId="0" borderId="0" applyFont="0" applyFill="0" applyBorder="0" applyAlignment="0" applyProtection="0"/>
    <xf numFmtId="15" fontId="35" fillId="0" borderId="0" applyFont="0" applyFill="0" applyBorder="0" applyAlignment="0" applyProtection="0"/>
    <xf numFmtId="15" fontId="35" fillId="0" borderId="0" applyFont="0" applyFill="0" applyBorder="0" applyAlignment="0" applyProtection="0"/>
    <xf numFmtId="4" fontId="35" fillId="0" borderId="0" applyFont="0" applyFill="0" applyBorder="0" applyAlignment="0" applyProtection="0"/>
    <xf numFmtId="4" fontId="35" fillId="0" borderId="0" applyFont="0" applyFill="0" applyBorder="0" applyAlignment="0" applyProtection="0"/>
    <xf numFmtId="4" fontId="35" fillId="0" borderId="0" applyFont="0" applyFill="0" applyBorder="0" applyAlignment="0" applyProtection="0"/>
    <xf numFmtId="0" fontId="36" fillId="0" borderId="21">
      <alignment horizontal="center"/>
    </xf>
    <xf numFmtId="0" fontId="36" fillId="0" borderId="21">
      <alignment horizontal="center"/>
    </xf>
    <xf numFmtId="0" fontId="36" fillId="0" borderId="21">
      <alignment horizontal="center"/>
    </xf>
    <xf numFmtId="0" fontId="36" fillId="0" borderId="21">
      <alignment horizontal="center"/>
    </xf>
    <xf numFmtId="3" fontId="35" fillId="0" borderId="0" applyFont="0" applyFill="0" applyBorder="0" applyAlignment="0" applyProtection="0"/>
    <xf numFmtId="3" fontId="35" fillId="0" borderId="0" applyFont="0" applyFill="0" applyBorder="0" applyAlignment="0" applyProtection="0"/>
    <xf numFmtId="3" fontId="35" fillId="0" borderId="0" applyFont="0" applyFill="0" applyBorder="0" applyAlignment="0" applyProtection="0"/>
    <xf numFmtId="0" fontId="35" fillId="48" borderId="0" applyNumberFormat="0" applyFont="0" applyBorder="0" applyAlignment="0" applyProtection="0"/>
    <xf numFmtId="0" fontId="35" fillId="48" borderId="0" applyNumberFormat="0" applyFont="0" applyBorder="0" applyAlignment="0" applyProtection="0"/>
    <xf numFmtId="0" fontId="35" fillId="48" borderId="0" applyNumberFormat="0" applyFont="0" applyBorder="0" applyAlignment="0" applyProtection="0"/>
    <xf numFmtId="182" fontId="1" fillId="0" borderId="0" applyFill="0" applyBorder="0" applyProtection="0">
      <alignment horizontal="left" vertical="top"/>
    </xf>
    <xf numFmtId="182" fontId="3" fillId="0" borderId="0" applyFill="0" applyBorder="0" applyProtection="0">
      <alignment horizontal="left" vertical="top"/>
    </xf>
    <xf numFmtId="182" fontId="3" fillId="0" borderId="0" applyFill="0" applyBorder="0" applyProtection="0">
      <alignment horizontal="left" vertical="top"/>
    </xf>
    <xf numFmtId="182" fontId="3" fillId="0" borderId="0" applyFill="0" applyBorder="0" applyProtection="0">
      <alignment horizontal="left" vertical="top"/>
    </xf>
    <xf numFmtId="182" fontId="3" fillId="0" borderId="0" applyFill="0" applyBorder="0" applyProtection="0">
      <alignment horizontal="left" vertical="top"/>
    </xf>
    <xf numFmtId="0" fontId="3" fillId="45" borderId="0"/>
    <xf numFmtId="4" fontId="37" fillId="49" borderId="22" applyNumberFormat="0" applyProtection="0">
      <alignment vertical="center"/>
    </xf>
    <xf numFmtId="4" fontId="37" fillId="49" borderId="22" applyNumberFormat="0" applyProtection="0">
      <alignment vertical="center"/>
    </xf>
    <xf numFmtId="4" fontId="37" fillId="49" borderId="22" applyNumberFormat="0" applyProtection="0">
      <alignment vertical="center"/>
    </xf>
    <xf numFmtId="4" fontId="37" fillId="49" borderId="22" applyNumberFormat="0" applyProtection="0">
      <alignment vertical="center"/>
    </xf>
    <xf numFmtId="4" fontId="38" fillId="49" borderId="22" applyNumberFormat="0" applyProtection="0">
      <alignment vertical="center"/>
    </xf>
    <xf numFmtId="4" fontId="38" fillId="49" borderId="22" applyNumberFormat="0" applyProtection="0">
      <alignment vertical="center"/>
    </xf>
    <xf numFmtId="4" fontId="38" fillId="49" borderId="22" applyNumberFormat="0" applyProtection="0">
      <alignment vertical="center"/>
    </xf>
    <xf numFmtId="4" fontId="38" fillId="49" borderId="22" applyNumberFormat="0" applyProtection="0">
      <alignment vertical="center"/>
    </xf>
    <xf numFmtId="4" fontId="39" fillId="49" borderId="22" applyNumberFormat="0" applyProtection="0">
      <alignment horizontal="left" vertical="center" indent="1"/>
    </xf>
    <xf numFmtId="4" fontId="39" fillId="49" borderId="22" applyNumberFormat="0" applyProtection="0">
      <alignment horizontal="left" vertical="center" indent="1"/>
    </xf>
    <xf numFmtId="4" fontId="39" fillId="49" borderId="22" applyNumberFormat="0" applyProtection="0">
      <alignment horizontal="left" vertical="center" indent="1"/>
    </xf>
    <xf numFmtId="4" fontId="39" fillId="49" borderId="22" applyNumberFormat="0" applyProtection="0">
      <alignment horizontal="left" vertical="center" indent="1"/>
    </xf>
    <xf numFmtId="4" fontId="39" fillId="50" borderId="0" applyNumberFormat="0" applyProtection="0">
      <alignment horizontal="left" vertical="center" indent="1"/>
    </xf>
    <xf numFmtId="4" fontId="39" fillId="50" borderId="0" applyNumberFormat="0" applyProtection="0">
      <alignment horizontal="left" vertical="center" indent="1"/>
    </xf>
    <xf numFmtId="4" fontId="39" fillId="50" borderId="0" applyNumberFormat="0" applyProtection="0">
      <alignment horizontal="left" vertical="center" indent="1"/>
    </xf>
    <xf numFmtId="4" fontId="39" fillId="50" borderId="0" applyNumberFormat="0" applyProtection="0">
      <alignment horizontal="left" vertical="center" indent="1"/>
    </xf>
    <xf numFmtId="4" fontId="39" fillId="51" borderId="22" applyNumberFormat="0" applyProtection="0">
      <alignment horizontal="right" vertical="center"/>
    </xf>
    <xf numFmtId="4" fontId="39" fillId="51" borderId="22" applyNumberFormat="0" applyProtection="0">
      <alignment horizontal="right" vertical="center"/>
    </xf>
    <xf numFmtId="4" fontId="39" fillId="51" borderId="22" applyNumberFormat="0" applyProtection="0">
      <alignment horizontal="right" vertical="center"/>
    </xf>
    <xf numFmtId="4" fontId="39" fillId="51" borderId="22" applyNumberFormat="0" applyProtection="0">
      <alignment horizontal="right" vertical="center"/>
    </xf>
    <xf numFmtId="4" fontId="39" fillId="52" borderId="22" applyNumberFormat="0" applyProtection="0">
      <alignment horizontal="right" vertical="center"/>
    </xf>
    <xf numFmtId="4" fontId="39" fillId="52" borderId="22" applyNumberFormat="0" applyProtection="0">
      <alignment horizontal="right" vertical="center"/>
    </xf>
    <xf numFmtId="4" fontId="39" fillId="52" borderId="22" applyNumberFormat="0" applyProtection="0">
      <alignment horizontal="right" vertical="center"/>
    </xf>
    <xf numFmtId="4" fontId="39" fillId="52" borderId="22" applyNumberFormat="0" applyProtection="0">
      <alignment horizontal="right" vertical="center"/>
    </xf>
    <xf numFmtId="4" fontId="39" fillId="53" borderId="22" applyNumberFormat="0" applyProtection="0">
      <alignment horizontal="right" vertical="center"/>
    </xf>
    <xf numFmtId="4" fontId="39" fillId="53" borderId="22" applyNumberFormat="0" applyProtection="0">
      <alignment horizontal="right" vertical="center"/>
    </xf>
    <xf numFmtId="4" fontId="39" fillId="53" borderId="22" applyNumberFormat="0" applyProtection="0">
      <alignment horizontal="right" vertical="center"/>
    </xf>
    <xf numFmtId="4" fontId="39" fillId="53" borderId="22" applyNumberFormat="0" applyProtection="0">
      <alignment horizontal="right" vertical="center"/>
    </xf>
    <xf numFmtId="4" fontId="39" fillId="38" borderId="22" applyNumberFormat="0" applyProtection="0">
      <alignment horizontal="right" vertical="center"/>
    </xf>
    <xf numFmtId="4" fontId="39" fillId="38" borderId="22" applyNumberFormat="0" applyProtection="0">
      <alignment horizontal="right" vertical="center"/>
    </xf>
    <xf numFmtId="4" fontId="39" fillId="38" borderId="22" applyNumberFormat="0" applyProtection="0">
      <alignment horizontal="right" vertical="center"/>
    </xf>
    <xf numFmtId="4" fontId="39" fillId="38" borderId="22" applyNumberFormat="0" applyProtection="0">
      <alignment horizontal="right" vertical="center"/>
    </xf>
    <xf numFmtId="4" fontId="39" fillId="54" borderId="22" applyNumberFormat="0" applyProtection="0">
      <alignment horizontal="right" vertical="center"/>
    </xf>
    <xf numFmtId="4" fontId="39" fillId="54" borderId="22" applyNumberFormat="0" applyProtection="0">
      <alignment horizontal="right" vertical="center"/>
    </xf>
    <xf numFmtId="4" fontId="39" fillId="54" borderId="22" applyNumberFormat="0" applyProtection="0">
      <alignment horizontal="right" vertical="center"/>
    </xf>
    <xf numFmtId="4" fontId="39" fillId="54" borderId="22" applyNumberFormat="0" applyProtection="0">
      <alignment horizontal="right" vertical="center"/>
    </xf>
    <xf numFmtId="4" fontId="39" fillId="55" borderId="22" applyNumberFormat="0" applyProtection="0">
      <alignment horizontal="right" vertical="center"/>
    </xf>
    <xf numFmtId="4" fontId="39" fillId="55" borderId="22" applyNumberFormat="0" applyProtection="0">
      <alignment horizontal="right" vertical="center"/>
    </xf>
    <xf numFmtId="4" fontId="39" fillId="55" borderId="22" applyNumberFormat="0" applyProtection="0">
      <alignment horizontal="right" vertical="center"/>
    </xf>
    <xf numFmtId="4" fontId="39" fillId="55" borderId="22" applyNumberFormat="0" applyProtection="0">
      <alignment horizontal="right" vertical="center"/>
    </xf>
    <xf numFmtId="4" fontId="39" fillId="56" borderId="22" applyNumberFormat="0" applyProtection="0">
      <alignment horizontal="right" vertical="center"/>
    </xf>
    <xf numFmtId="4" fontId="39" fillId="56" borderId="22" applyNumberFormat="0" applyProtection="0">
      <alignment horizontal="right" vertical="center"/>
    </xf>
    <xf numFmtId="4" fontId="39" fillId="56" borderId="22" applyNumberFormat="0" applyProtection="0">
      <alignment horizontal="right" vertical="center"/>
    </xf>
    <xf numFmtId="4" fontId="39" fillId="56" borderId="22" applyNumberFormat="0" applyProtection="0">
      <alignment horizontal="right" vertical="center"/>
    </xf>
    <xf numFmtId="4" fontId="39" fillId="57" borderId="22" applyNumberFormat="0" applyProtection="0">
      <alignment horizontal="right" vertical="center"/>
    </xf>
    <xf numFmtId="4" fontId="39" fillId="57" borderId="22" applyNumberFormat="0" applyProtection="0">
      <alignment horizontal="right" vertical="center"/>
    </xf>
    <xf numFmtId="4" fontId="39" fillId="57" borderId="22" applyNumberFormat="0" applyProtection="0">
      <alignment horizontal="right" vertical="center"/>
    </xf>
    <xf numFmtId="4" fontId="39" fillId="57" borderId="22" applyNumberFormat="0" applyProtection="0">
      <alignment horizontal="right" vertical="center"/>
    </xf>
    <xf numFmtId="4" fontId="39" fillId="58" borderId="22" applyNumberFormat="0" applyProtection="0">
      <alignment horizontal="right" vertical="center"/>
    </xf>
    <xf numFmtId="4" fontId="39" fillId="58" borderId="22" applyNumberFormat="0" applyProtection="0">
      <alignment horizontal="right" vertical="center"/>
    </xf>
    <xf numFmtId="4" fontId="39" fillId="58" borderId="22" applyNumberFormat="0" applyProtection="0">
      <alignment horizontal="right" vertical="center"/>
    </xf>
    <xf numFmtId="4" fontId="39" fillId="58" borderId="22" applyNumberFormat="0" applyProtection="0">
      <alignment horizontal="right" vertical="center"/>
    </xf>
    <xf numFmtId="4" fontId="37" fillId="59" borderId="23" applyNumberFormat="0" applyProtection="0">
      <alignment horizontal="left" vertical="center" indent="1"/>
    </xf>
    <xf numFmtId="4" fontId="37" fillId="59" borderId="23" applyNumberFormat="0" applyProtection="0">
      <alignment horizontal="left" vertical="center" indent="1"/>
    </xf>
    <xf numFmtId="4" fontId="37" fillId="59" borderId="23" applyNumberFormat="0" applyProtection="0">
      <alignment horizontal="left" vertical="center" indent="1"/>
    </xf>
    <xf numFmtId="4" fontId="37" fillId="59" borderId="23" applyNumberFormat="0" applyProtection="0">
      <alignment horizontal="left" vertical="center" indent="1"/>
    </xf>
    <xf numFmtId="4" fontId="37" fillId="44" borderId="0" applyNumberFormat="0" applyProtection="0">
      <alignment horizontal="left" vertical="center" indent="1"/>
    </xf>
    <xf numFmtId="4" fontId="37" fillId="44" borderId="0" applyNumberFormat="0" applyProtection="0">
      <alignment horizontal="left" vertical="center" indent="1"/>
    </xf>
    <xf numFmtId="4" fontId="37" fillId="44" borderId="0" applyNumberFormat="0" applyProtection="0">
      <alignment horizontal="left" vertical="center" indent="1"/>
    </xf>
    <xf numFmtId="4" fontId="37" fillId="44" borderId="0" applyNumberFormat="0" applyProtection="0">
      <alignment horizontal="left" vertical="center" indent="1"/>
    </xf>
    <xf numFmtId="4" fontId="37" fillId="50" borderId="0" applyNumberFormat="0" applyProtection="0">
      <alignment horizontal="left" vertical="center" indent="1"/>
    </xf>
    <xf numFmtId="4" fontId="37" fillId="50" borderId="0" applyNumberFormat="0" applyProtection="0">
      <alignment horizontal="left" vertical="center" indent="1"/>
    </xf>
    <xf numFmtId="4" fontId="37" fillId="50" borderId="0" applyNumberFormat="0" applyProtection="0">
      <alignment horizontal="left" vertical="center" indent="1"/>
    </xf>
    <xf numFmtId="4" fontId="37" fillId="50" borderId="0" applyNumberFormat="0" applyProtection="0">
      <alignment horizontal="left" vertical="center" indent="1"/>
    </xf>
    <xf numFmtId="4" fontId="39" fillId="44" borderId="22" applyNumberFormat="0" applyProtection="0">
      <alignment horizontal="right" vertical="center"/>
    </xf>
    <xf numFmtId="4" fontId="39" fillId="44" borderId="22" applyNumberFormat="0" applyProtection="0">
      <alignment horizontal="right" vertical="center"/>
    </xf>
    <xf numFmtId="4" fontId="39" fillId="44" borderId="22" applyNumberFormat="0" applyProtection="0">
      <alignment horizontal="right" vertical="center"/>
    </xf>
    <xf numFmtId="4" fontId="39" fillId="44" borderId="22" applyNumberFormat="0" applyProtection="0">
      <alignment horizontal="right" vertical="center"/>
    </xf>
    <xf numFmtId="4" fontId="40" fillId="44" borderId="0" applyNumberFormat="0" applyProtection="0">
      <alignment horizontal="left" vertical="center" indent="1"/>
    </xf>
    <xf numFmtId="4" fontId="40" fillId="44" borderId="0" applyNumberFormat="0" applyProtection="0">
      <alignment horizontal="left" vertical="center" indent="1"/>
    </xf>
    <xf numFmtId="4" fontId="40" fillId="44" borderId="0" applyNumberFormat="0" applyProtection="0">
      <alignment horizontal="left" vertical="center" indent="1"/>
    </xf>
    <xf numFmtId="4" fontId="40" fillId="44" borderId="0" applyNumberFormat="0" applyProtection="0">
      <alignment horizontal="left" vertical="center" indent="1"/>
    </xf>
    <xf numFmtId="4" fontId="40" fillId="50" borderId="0" applyNumberFormat="0" applyProtection="0">
      <alignment horizontal="left" vertical="center" indent="1"/>
    </xf>
    <xf numFmtId="4" fontId="40" fillId="50" borderId="0" applyNumberFormat="0" applyProtection="0">
      <alignment horizontal="left" vertical="center" indent="1"/>
    </xf>
    <xf numFmtId="4" fontId="40" fillId="50" borderId="0" applyNumberFormat="0" applyProtection="0">
      <alignment horizontal="left" vertical="center" indent="1"/>
    </xf>
    <xf numFmtId="4" fontId="40" fillId="50" borderId="0" applyNumberFormat="0" applyProtection="0">
      <alignment horizontal="left" vertical="center" indent="1"/>
    </xf>
    <xf numFmtId="4" fontId="39" fillId="60" borderId="22" applyNumberFormat="0" applyProtection="0">
      <alignment vertical="center"/>
    </xf>
    <xf numFmtId="4" fontId="39" fillId="60" borderId="22" applyNumberFormat="0" applyProtection="0">
      <alignment vertical="center"/>
    </xf>
    <xf numFmtId="4" fontId="39" fillId="60" borderId="22" applyNumberFormat="0" applyProtection="0">
      <alignment vertical="center"/>
    </xf>
    <xf numFmtId="4" fontId="39" fillId="60" borderId="22" applyNumberFormat="0" applyProtection="0">
      <alignment vertical="center"/>
    </xf>
    <xf numFmtId="4" fontId="41" fillId="60" borderId="22" applyNumberFormat="0" applyProtection="0">
      <alignment vertical="center"/>
    </xf>
    <xf numFmtId="4" fontId="41" fillId="60" borderId="22" applyNumberFormat="0" applyProtection="0">
      <alignment vertical="center"/>
    </xf>
    <xf numFmtId="4" fontId="41" fillId="60" borderId="22" applyNumberFormat="0" applyProtection="0">
      <alignment vertical="center"/>
    </xf>
    <xf numFmtId="4" fontId="41" fillId="60" borderId="22" applyNumberFormat="0" applyProtection="0">
      <alignment vertical="center"/>
    </xf>
    <xf numFmtId="4" fontId="37" fillId="44" borderId="24" applyNumberFormat="0" applyProtection="0">
      <alignment horizontal="left" vertical="center" indent="1"/>
    </xf>
    <xf numFmtId="4" fontId="37" fillId="44" borderId="24" applyNumberFormat="0" applyProtection="0">
      <alignment horizontal="left" vertical="center" indent="1"/>
    </xf>
    <xf numFmtId="4" fontId="37" fillId="44" borderId="24" applyNumberFormat="0" applyProtection="0">
      <alignment horizontal="left" vertical="center" indent="1"/>
    </xf>
    <xf numFmtId="4" fontId="37" fillId="44" borderId="24" applyNumberFormat="0" applyProtection="0">
      <alignment horizontal="left" vertical="center" indent="1"/>
    </xf>
    <xf numFmtId="4" fontId="42" fillId="60" borderId="0" applyNumberFormat="0" applyProtection="0">
      <alignment horizontal="right" vertical="center"/>
    </xf>
    <xf numFmtId="4" fontId="41" fillId="60" borderId="22" applyNumberFormat="0" applyProtection="0">
      <alignment horizontal="right" vertical="center"/>
    </xf>
    <xf numFmtId="4" fontId="41" fillId="60" borderId="22" applyNumberFormat="0" applyProtection="0">
      <alignment horizontal="right" vertical="center"/>
    </xf>
    <xf numFmtId="4" fontId="41" fillId="60" borderId="22" applyNumberFormat="0" applyProtection="0">
      <alignment horizontal="right" vertical="center"/>
    </xf>
    <xf numFmtId="4" fontId="41" fillId="60" borderId="22" applyNumberFormat="0" applyProtection="0">
      <alignment horizontal="right" vertical="center"/>
    </xf>
    <xf numFmtId="4" fontId="37" fillId="44" borderId="22" applyNumberFormat="0" applyProtection="0">
      <alignment horizontal="left" vertical="center" indent="1"/>
    </xf>
    <xf numFmtId="4" fontId="37" fillId="44" borderId="22" applyNumberFormat="0" applyProtection="0">
      <alignment horizontal="left" vertical="center" indent="1"/>
    </xf>
    <xf numFmtId="4" fontId="37" fillId="44" borderId="22" applyNumberFormat="0" applyProtection="0">
      <alignment horizontal="left" vertical="center" indent="1"/>
    </xf>
    <xf numFmtId="4" fontId="37" fillId="44" borderId="22" applyNumberFormat="0" applyProtection="0">
      <alignment horizontal="left" vertical="center" indent="1"/>
    </xf>
    <xf numFmtId="4" fontId="43" fillId="61" borderId="24" applyNumberFormat="0" applyProtection="0">
      <alignment horizontal="left" vertical="center" indent="1"/>
    </xf>
    <xf numFmtId="4" fontId="43" fillId="61" borderId="24" applyNumberFormat="0" applyProtection="0">
      <alignment horizontal="left" vertical="center" indent="1"/>
    </xf>
    <xf numFmtId="4" fontId="43" fillId="61" borderId="24" applyNumberFormat="0" applyProtection="0">
      <alignment horizontal="left" vertical="center" indent="1"/>
    </xf>
    <xf numFmtId="4" fontId="43" fillId="61" borderId="24" applyNumberFormat="0" applyProtection="0">
      <alignment horizontal="left" vertical="center" indent="1"/>
    </xf>
    <xf numFmtId="4" fontId="44" fillId="60" borderId="22" applyNumberFormat="0" applyProtection="0">
      <alignment horizontal="right" vertical="center"/>
    </xf>
    <xf numFmtId="4" fontId="44" fillId="60" borderId="22" applyNumberFormat="0" applyProtection="0">
      <alignment horizontal="right" vertical="center"/>
    </xf>
    <xf numFmtId="4" fontId="44" fillId="60" borderId="22" applyNumberFormat="0" applyProtection="0">
      <alignment horizontal="right" vertical="center"/>
    </xf>
    <xf numFmtId="4" fontId="44" fillId="60" borderId="22" applyNumberFormat="0" applyProtection="0">
      <alignment horizontal="right" vertical="center"/>
    </xf>
    <xf numFmtId="0" fontId="62" fillId="4" borderId="0" applyNumberFormat="0" applyBorder="0" applyAlignment="0" applyProtection="0"/>
    <xf numFmtId="0" fontId="62" fillId="4" borderId="0" applyNumberFormat="0" applyBorder="0" applyAlignment="0" applyProtection="0"/>
    <xf numFmtId="0" fontId="63" fillId="34" borderId="20" applyNumberFormat="0" applyAlignment="0" applyProtection="0"/>
    <xf numFmtId="0" fontId="63" fillId="34" borderId="20" applyNumberFormat="0" applyAlignment="0" applyProtection="0"/>
    <xf numFmtId="183" fontId="5" fillId="0" borderId="0" applyBorder="0" applyProtection="0">
      <alignment horizontal="left" vertical="top"/>
    </xf>
    <xf numFmtId="184" fontId="5" fillId="0" borderId="0" applyBorder="0" applyProtection="0">
      <alignment horizontal="left" vertical="top"/>
    </xf>
    <xf numFmtId="0" fontId="3" fillId="0" borderId="0"/>
    <xf numFmtId="0" fontId="3" fillId="0" borderId="0"/>
    <xf numFmtId="173" fontId="1" fillId="0" borderId="0"/>
    <xf numFmtId="173" fontId="3" fillId="0" borderId="0"/>
    <xf numFmtId="173" fontId="3" fillId="0" borderId="0"/>
    <xf numFmtId="173" fontId="3" fillId="0" borderId="0"/>
    <xf numFmtId="173" fontId="3" fillId="0" borderId="0"/>
    <xf numFmtId="0" fontId="10" fillId="0" borderId="0">
      <alignment horizontal="center"/>
    </xf>
    <xf numFmtId="0" fontId="2" fillId="0" borderId="0">
      <alignment horizontal="center"/>
    </xf>
    <xf numFmtId="0" fontId="2" fillId="0" borderId="0">
      <alignment horizontal="center"/>
    </xf>
    <xf numFmtId="0" fontId="10" fillId="0" borderId="0">
      <alignment horizontal="left"/>
    </xf>
    <xf numFmtId="0" fontId="2" fillId="0" borderId="0">
      <alignment horizontal="left"/>
    </xf>
    <xf numFmtId="0" fontId="2" fillId="0" borderId="0">
      <alignment horizontal="left"/>
    </xf>
    <xf numFmtId="185" fontId="14" fillId="0" borderId="0" applyBorder="0" applyProtection="0">
      <alignment horizontal="left" vertical="top"/>
    </xf>
    <xf numFmtId="180" fontId="52" fillId="0" borderId="25">
      <alignment vertical="top"/>
    </xf>
    <xf numFmtId="180" fontId="38" fillId="0" borderId="25">
      <alignment vertical="top"/>
    </xf>
    <xf numFmtId="187" fontId="76" fillId="0" borderId="26">
      <alignment horizontal="center" vertical="center" wrapText="1"/>
    </xf>
    <xf numFmtId="0" fontId="64" fillId="0" borderId="0" applyNumberFormat="0" applyFill="0" applyBorder="0" applyAlignment="0" applyProtection="0"/>
    <xf numFmtId="186" fontId="3" fillId="0" borderId="0">
      <alignment horizontal="right" vertical="top"/>
    </xf>
    <xf numFmtId="0" fontId="17" fillId="45" borderId="0" applyNumberFormat="0" applyBorder="0" applyProtection="0">
      <alignment horizontal="center" vertical="center"/>
    </xf>
    <xf numFmtId="0" fontId="65" fillId="0" borderId="0" applyNumberFormat="0" applyFill="0" applyBorder="0" applyAlignment="0" applyProtection="0"/>
    <xf numFmtId="0" fontId="65" fillId="0" borderId="0" applyNumberFormat="0" applyFill="0" applyBorder="0" applyAlignment="0" applyProtection="0"/>
    <xf numFmtId="0" fontId="91" fillId="0" borderId="0"/>
    <xf numFmtId="0" fontId="66" fillId="0" borderId="13" applyNumberFormat="0" applyFill="0" applyAlignment="0" applyProtection="0"/>
    <xf numFmtId="0" fontId="67" fillId="0" borderId="14" applyNumberFormat="0" applyFill="0" applyAlignment="0" applyProtection="0"/>
    <xf numFmtId="0" fontId="68" fillId="0" borderId="15" applyNumberFormat="0" applyFill="0" applyAlignment="0" applyProtection="0"/>
    <xf numFmtId="0" fontId="68" fillId="0" borderId="0" applyNumberFormat="0" applyFill="0" applyBorder="0" applyAlignment="0" applyProtection="0"/>
    <xf numFmtId="0" fontId="45" fillId="0" borderId="27" applyBorder="0"/>
    <xf numFmtId="0" fontId="25" fillId="0" borderId="27" applyBorder="0"/>
    <xf numFmtId="0" fontId="86" fillId="0" borderId="27" applyBorder="0"/>
    <xf numFmtId="0" fontId="25" fillId="0" borderId="27" applyBorder="0"/>
    <xf numFmtId="0" fontId="25" fillId="0" borderId="27" applyBorder="0"/>
    <xf numFmtId="0" fontId="25" fillId="0" borderId="27" applyBorder="0"/>
    <xf numFmtId="0" fontId="25" fillId="0" borderId="27" applyBorder="0"/>
    <xf numFmtId="0" fontId="69" fillId="0" borderId="28" applyNumberFormat="0" applyFill="0" applyAlignment="0" applyProtection="0"/>
    <xf numFmtId="0" fontId="46" fillId="0" borderId="29" applyBorder="0"/>
    <xf numFmtId="0" fontId="11" fillId="0" borderId="29" applyBorder="0"/>
    <xf numFmtId="0" fontId="11" fillId="0" borderId="29" applyBorder="0"/>
    <xf numFmtId="0" fontId="87" fillId="0" borderId="29" applyBorder="0"/>
    <xf numFmtId="0" fontId="11" fillId="0" borderId="29" applyBorder="0"/>
    <xf numFmtId="0" fontId="11" fillId="0" borderId="29" applyBorder="0"/>
    <xf numFmtId="0" fontId="11" fillId="0" borderId="29" applyBorder="0"/>
    <xf numFmtId="0" fontId="47" fillId="0" borderId="30" applyBorder="0"/>
    <xf numFmtId="0" fontId="47" fillId="0" borderId="30" applyBorder="0"/>
    <xf numFmtId="0" fontId="47" fillId="0" borderId="30" applyBorder="0"/>
    <xf numFmtId="0" fontId="88" fillId="0" borderId="30" applyBorder="0"/>
    <xf numFmtId="0" fontId="47" fillId="0" borderId="30" applyBorder="0"/>
    <xf numFmtId="0" fontId="47" fillId="0" borderId="30" applyBorder="0"/>
    <xf numFmtId="0" fontId="47" fillId="0" borderId="30" applyBorder="0"/>
    <xf numFmtId="0" fontId="70" fillId="62" borderId="7" applyNumberFormat="0" applyAlignment="0" applyProtection="0"/>
    <xf numFmtId="0" fontId="70" fillId="62" borderId="7" applyNumberFormat="0" applyAlignment="0" applyProtection="0"/>
    <xf numFmtId="0" fontId="56" fillId="0" borderId="0" applyNumberFormat="0" applyFill="0" applyBorder="0" applyAlignment="0" applyProtection="0"/>
    <xf numFmtId="0" fontId="77" fillId="0" borderId="0"/>
    <xf numFmtId="0" fontId="89" fillId="0" borderId="0"/>
  </cellStyleXfs>
  <cellXfs count="239">
    <xf numFmtId="0" fontId="0" fillId="0" borderId="0" xfId="0"/>
    <xf numFmtId="0" fontId="3" fillId="0" borderId="0" xfId="979"/>
    <xf numFmtId="0" fontId="3" fillId="0" borderId="0" xfId="979" applyAlignment="1">
      <alignment horizontal="center"/>
    </xf>
    <xf numFmtId="0" fontId="3" fillId="0" borderId="0" xfId="989"/>
    <xf numFmtId="0" fontId="15" fillId="0" borderId="0" xfId="989" applyFont="1" applyAlignment="1">
      <alignment horizontal="center" vertical="center"/>
    </xf>
    <xf numFmtId="0" fontId="4" fillId="0" borderId="0" xfId="989" applyFont="1"/>
    <xf numFmtId="0" fontId="2" fillId="0" borderId="0" xfId="989" applyFont="1"/>
    <xf numFmtId="0" fontId="5" fillId="0" borderId="25" xfId="989" applyFont="1" applyBorder="1" applyAlignment="1">
      <alignment vertical="center"/>
    </xf>
    <xf numFmtId="0" fontId="20" fillId="0" borderId="0" xfId="989" applyFont="1" applyAlignment="1">
      <alignment horizontal="center" vertical="center"/>
    </xf>
    <xf numFmtId="0" fontId="4" fillId="0" borderId="0" xfId="989" applyFont="1" applyAlignment="1">
      <alignment horizontal="center" vertical="center"/>
    </xf>
    <xf numFmtId="0" fontId="5" fillId="0" borderId="0" xfId="989" applyFont="1" applyAlignment="1">
      <alignment vertical="center"/>
    </xf>
    <xf numFmtId="0" fontId="2" fillId="0" borderId="0" xfId="989" applyFont="1" applyAlignment="1">
      <alignment horizontal="center" vertical="center"/>
    </xf>
    <xf numFmtId="0" fontId="3" fillId="0" borderId="0" xfId="989" applyAlignment="1">
      <alignment horizontal="center" vertical="center"/>
    </xf>
    <xf numFmtId="0" fontId="4" fillId="0" borderId="0" xfId="989" applyFont="1" applyAlignment="1">
      <alignment horizontal="left" vertical="center"/>
    </xf>
    <xf numFmtId="0" fontId="3" fillId="0" borderId="0" xfId="990"/>
    <xf numFmtId="0" fontId="4" fillId="0" borderId="0" xfId="979" applyFont="1" applyAlignment="1">
      <alignment horizontal="center" vertical="center" wrapText="1"/>
    </xf>
    <xf numFmtId="0" fontId="2" fillId="0" borderId="0" xfId="979" applyFont="1" applyAlignment="1">
      <alignment horizontal="center" vertical="center"/>
    </xf>
    <xf numFmtId="0" fontId="14" fillId="0" borderId="0" xfId="979" applyFont="1" applyAlignment="1">
      <alignment horizontal="left" vertical="center"/>
    </xf>
    <xf numFmtId="0" fontId="3" fillId="0" borderId="0" xfId="993"/>
    <xf numFmtId="0" fontId="3" fillId="0" borderId="0" xfId="994" applyAlignment="1">
      <alignment horizontal="center" vertical="center"/>
    </xf>
    <xf numFmtId="0" fontId="78" fillId="0" borderId="0" xfId="993" applyFont="1"/>
    <xf numFmtId="0" fontId="3" fillId="0" borderId="17" xfId="979" applyBorder="1"/>
    <xf numFmtId="0" fontId="90" fillId="0" borderId="0" xfId="989" quotePrefix="1" applyFont="1"/>
    <xf numFmtId="0" fontId="90" fillId="0" borderId="0" xfId="989" applyFont="1"/>
    <xf numFmtId="0" fontId="3" fillId="0" borderId="0" xfId="979" applyAlignment="1">
      <alignment horizontal="left" indent="2"/>
    </xf>
    <xf numFmtId="0" fontId="14" fillId="0" borderId="0" xfId="979" applyFont="1" applyAlignment="1">
      <alignment horizontal="left"/>
    </xf>
    <xf numFmtId="0" fontId="3" fillId="0" borderId="0" xfId="979" applyAlignment="1">
      <alignment horizontal="left"/>
    </xf>
    <xf numFmtId="0" fontId="3" fillId="0" borderId="0" xfId="979" applyAlignment="1">
      <alignment horizontal="left" vertical="center"/>
    </xf>
    <xf numFmtId="0" fontId="3" fillId="0" borderId="0" xfId="979" applyAlignment="1">
      <alignment vertical="center"/>
    </xf>
    <xf numFmtId="0" fontId="2" fillId="0" borderId="0" xfId="979" applyFont="1" applyAlignment="1">
      <alignment horizontal="right" wrapText="1"/>
    </xf>
    <xf numFmtId="0" fontId="14" fillId="0" borderId="43" xfId="993" applyFont="1" applyBorder="1" applyAlignment="1">
      <alignment vertical="top" wrapText="1"/>
    </xf>
    <xf numFmtId="0" fontId="14" fillId="0" borderId="44" xfId="993" applyFont="1" applyBorder="1" applyAlignment="1">
      <alignment horizontal="left" vertical="top" wrapText="1"/>
    </xf>
    <xf numFmtId="0" fontId="14" fillId="0" borderId="9" xfId="993" applyFont="1" applyBorder="1" applyAlignment="1">
      <alignment horizontal="left" vertical="top" wrapText="1"/>
    </xf>
    <xf numFmtId="0" fontId="14" fillId="0" borderId="45" xfId="993" applyFont="1" applyBorder="1" applyAlignment="1">
      <alignment horizontal="left" vertical="top" wrapText="1"/>
    </xf>
    <xf numFmtId="0" fontId="2" fillId="0" borderId="0" xfId="979" applyFont="1" applyAlignment="1">
      <alignment vertical="center" wrapText="1"/>
    </xf>
    <xf numFmtId="0" fontId="2" fillId="0" borderId="0" xfId="979" applyFont="1" applyAlignment="1" applyProtection="1">
      <alignment horizontal="right" vertical="center" wrapText="1"/>
      <protection locked="0"/>
    </xf>
    <xf numFmtId="189" fontId="2" fillId="0" borderId="0" xfId="979" applyNumberFormat="1" applyFont="1" applyAlignment="1" applyProtection="1">
      <alignment vertical="center" wrapText="1"/>
      <protection locked="0"/>
    </xf>
    <xf numFmtId="0" fontId="4" fillId="0" borderId="0" xfId="993" applyFont="1"/>
    <xf numFmtId="0" fontId="8" fillId="0" borderId="0" xfId="0" applyFont="1" applyAlignment="1">
      <alignment vertical="top"/>
    </xf>
    <xf numFmtId="0" fontId="8" fillId="0" borderId="0" xfId="0" applyFont="1" applyAlignment="1">
      <alignment vertical="top" wrapText="1"/>
    </xf>
    <xf numFmtId="0" fontId="8" fillId="0" borderId="0" xfId="0" applyFont="1" applyAlignment="1">
      <alignment horizontal="center"/>
    </xf>
    <xf numFmtId="0" fontId="11" fillId="0" borderId="0" xfId="0" applyFont="1" applyAlignment="1">
      <alignment horizontal="center" vertical="top"/>
    </xf>
    <xf numFmtId="49" fontId="11" fillId="0" borderId="0" xfId="0" applyNumberFormat="1" applyFont="1" applyAlignment="1">
      <alignment horizontal="center" vertical="top"/>
    </xf>
    <xf numFmtId="0" fontId="11" fillId="0" borderId="36" xfId="0" applyFont="1" applyBorder="1" applyAlignment="1">
      <alignment horizontal="center" vertical="top"/>
    </xf>
    <xf numFmtId="49" fontId="11" fillId="0" borderId="36" xfId="0" applyNumberFormat="1" applyFont="1" applyBorder="1" applyAlignment="1">
      <alignment horizontal="center" vertical="top"/>
    </xf>
    <xf numFmtId="0" fontId="3" fillId="63" borderId="0" xfId="989" applyFill="1"/>
    <xf numFmtId="0" fontId="4" fillId="63" borderId="0" xfId="993" applyFont="1" applyFill="1"/>
    <xf numFmtId="0" fontId="3" fillId="63" borderId="0" xfId="993" applyFill="1"/>
    <xf numFmtId="0" fontId="2" fillId="63" borderId="19" xfId="0" applyFont="1" applyFill="1" applyBorder="1" applyAlignment="1">
      <alignment horizontal="center" vertical="center" wrapText="1"/>
    </xf>
    <xf numFmtId="0" fontId="2" fillId="63" borderId="34" xfId="0" applyFont="1" applyFill="1" applyBorder="1" applyAlignment="1">
      <alignment horizontal="center" vertical="center" wrapText="1"/>
    </xf>
    <xf numFmtId="0" fontId="18" fillId="63" borderId="46" xfId="979" applyFont="1" applyFill="1" applyBorder="1" applyAlignment="1" applyProtection="1">
      <alignment horizontal="center" vertical="center" wrapText="1"/>
      <protection locked="0"/>
    </xf>
    <xf numFmtId="0" fontId="53" fillId="63" borderId="46" xfId="979" applyFont="1" applyFill="1" applyBorder="1" applyAlignment="1" applyProtection="1">
      <alignment horizontal="center" vertical="center" wrapText="1"/>
      <protection locked="0"/>
    </xf>
    <xf numFmtId="0" fontId="53" fillId="63" borderId="47" xfId="979" applyFont="1" applyFill="1" applyBorder="1" applyAlignment="1" applyProtection="1">
      <alignment horizontal="center" vertical="center" wrapText="1"/>
      <protection locked="0"/>
    </xf>
    <xf numFmtId="0" fontId="5" fillId="63" borderId="48" xfId="979" applyFont="1" applyFill="1" applyBorder="1" applyAlignment="1" applyProtection="1">
      <alignment horizontal="center" vertical="center" wrapText="1"/>
      <protection locked="0"/>
    </xf>
    <xf numFmtId="0" fontId="11" fillId="63" borderId="11" xfId="0" applyFont="1" applyFill="1" applyBorder="1" applyAlignment="1">
      <alignment horizontal="center" vertical="top" wrapText="1"/>
    </xf>
    <xf numFmtId="0" fontId="2" fillId="64" borderId="19" xfId="0" applyFont="1" applyFill="1" applyBorder="1" applyAlignment="1">
      <alignment horizontal="left" vertical="top"/>
    </xf>
    <xf numFmtId="0" fontId="11" fillId="63" borderId="19" xfId="0" applyFont="1" applyFill="1" applyBorder="1" applyAlignment="1">
      <alignment horizontal="center" vertical="top" wrapText="1"/>
    </xf>
    <xf numFmtId="0" fontId="13" fillId="65" borderId="19" xfId="0" applyFont="1" applyFill="1" applyBorder="1" applyAlignment="1">
      <alignment horizontal="left" vertical="top"/>
    </xf>
    <xf numFmtId="188" fontId="8" fillId="66" borderId="17" xfId="0" applyNumberFormat="1" applyFont="1" applyFill="1" applyBorder="1" applyAlignment="1">
      <alignment horizontal="center" vertical="center"/>
    </xf>
    <xf numFmtId="0" fontId="2" fillId="66" borderId="17" xfId="979" applyFont="1" applyFill="1" applyBorder="1" applyAlignment="1">
      <alignment vertical="center" wrapText="1"/>
    </xf>
    <xf numFmtId="0" fontId="2" fillId="66" borderId="17" xfId="979" applyFont="1" applyFill="1" applyBorder="1" applyAlignment="1" applyProtection="1">
      <alignment vertical="center" wrapText="1"/>
      <protection locked="0"/>
    </xf>
    <xf numFmtId="0" fontId="2" fillId="66" borderId="42" xfId="979" applyFont="1" applyFill="1" applyBorder="1" applyAlignment="1" applyProtection="1">
      <alignment vertical="center" wrapText="1"/>
      <protection locked="0"/>
    </xf>
    <xf numFmtId="189" fontId="2" fillId="66" borderId="42" xfId="979" applyNumberFormat="1" applyFont="1" applyFill="1" applyBorder="1" applyAlignment="1" applyProtection="1">
      <alignment vertical="center" wrapText="1"/>
      <protection locked="0"/>
    </xf>
    <xf numFmtId="9" fontId="2" fillId="66" borderId="42" xfId="979" applyNumberFormat="1" applyFont="1" applyFill="1" applyBorder="1" applyAlignment="1" applyProtection="1">
      <alignment vertical="center" wrapText="1"/>
      <protection locked="0"/>
    </xf>
    <xf numFmtId="14" fontId="2" fillId="66" borderId="42" xfId="979" applyNumberFormat="1" applyFont="1" applyFill="1" applyBorder="1" applyAlignment="1" applyProtection="1">
      <alignment vertical="center" wrapText="1"/>
      <protection locked="0"/>
    </xf>
    <xf numFmtId="191" fontId="2" fillId="66" borderId="49" xfId="979" applyNumberFormat="1" applyFont="1" applyFill="1" applyBorder="1" applyAlignment="1" applyProtection="1">
      <alignment vertical="center" wrapText="1"/>
      <protection locked="0"/>
    </xf>
    <xf numFmtId="0" fontId="2" fillId="66" borderId="10" xfId="979" applyFont="1" applyFill="1" applyBorder="1" applyAlignment="1">
      <alignment vertical="center" wrapText="1"/>
    </xf>
    <xf numFmtId="0" fontId="2" fillId="66" borderId="35" xfId="979" applyFont="1" applyFill="1" applyBorder="1" applyAlignment="1" applyProtection="1">
      <alignment horizontal="right" vertical="center" wrapText="1"/>
      <protection locked="0"/>
    </xf>
    <xf numFmtId="191" fontId="2" fillId="66" borderId="42" xfId="979" applyNumberFormat="1" applyFont="1" applyFill="1" applyBorder="1" applyAlignment="1" applyProtection="1">
      <alignment horizontal="center" vertical="center" wrapText="1"/>
      <protection locked="0"/>
    </xf>
    <xf numFmtId="191" fontId="2" fillId="66" borderId="42" xfId="979" applyNumberFormat="1" applyFont="1" applyFill="1" applyBorder="1" applyAlignment="1" applyProtection="1">
      <alignment vertical="center" wrapText="1"/>
      <protection locked="0"/>
    </xf>
    <xf numFmtId="0" fontId="2" fillId="66" borderId="50" xfId="979" applyFont="1" applyFill="1" applyBorder="1" applyAlignment="1">
      <alignment vertical="center" wrapText="1"/>
    </xf>
    <xf numFmtId="0" fontId="2" fillId="66" borderId="35" xfId="979" applyFont="1" applyFill="1" applyBorder="1" applyAlignment="1" applyProtection="1">
      <alignment vertical="center" wrapText="1"/>
      <protection locked="0"/>
    </xf>
    <xf numFmtId="0" fontId="2" fillId="66" borderId="49" xfId="979" applyFont="1" applyFill="1" applyBorder="1" applyAlignment="1" applyProtection="1">
      <alignment vertical="center" wrapText="1"/>
      <protection locked="0"/>
    </xf>
    <xf numFmtId="0" fontId="2" fillId="66" borderId="50" xfId="979" applyFont="1" applyFill="1" applyBorder="1" applyAlignment="1" applyProtection="1">
      <alignment vertical="center" wrapText="1"/>
      <protection locked="0"/>
    </xf>
    <xf numFmtId="0" fontId="2" fillId="66" borderId="51" xfId="979" applyFont="1" applyFill="1" applyBorder="1" applyAlignment="1">
      <alignment vertical="center" wrapText="1"/>
    </xf>
    <xf numFmtId="0" fontId="2" fillId="0" borderId="0" xfId="979" applyFont="1"/>
    <xf numFmtId="0" fontId="0" fillId="66" borderId="33" xfId="0" applyFill="1" applyBorder="1" applyAlignment="1">
      <alignment horizontal="center" vertical="center" wrapText="1"/>
    </xf>
    <xf numFmtId="0" fontId="3" fillId="66" borderId="33" xfId="0" applyFont="1" applyFill="1" applyBorder="1" applyAlignment="1">
      <alignment horizontal="justify" vertical="center" wrapText="1"/>
    </xf>
    <xf numFmtId="0" fontId="3" fillId="66" borderId="17" xfId="0" applyFont="1" applyFill="1" applyBorder="1" applyAlignment="1">
      <alignment horizontal="center" vertical="center" wrapText="1"/>
    </xf>
    <xf numFmtId="0" fontId="3" fillId="66" borderId="33" xfId="0" applyFont="1" applyFill="1" applyBorder="1" applyAlignment="1">
      <alignment horizontal="center" vertical="center" wrapText="1"/>
    </xf>
    <xf numFmtId="14" fontId="0" fillId="66" borderId="33" xfId="0" applyNumberFormat="1" applyFill="1" applyBorder="1" applyAlignment="1">
      <alignment horizontal="center" vertical="center" wrapText="1"/>
    </xf>
    <xf numFmtId="14" fontId="3" fillId="66" borderId="33" xfId="0" applyNumberFormat="1" applyFont="1" applyFill="1" applyBorder="1" applyAlignment="1">
      <alignment horizontal="center" vertical="center" wrapText="1"/>
    </xf>
    <xf numFmtId="0" fontId="2" fillId="66" borderId="33" xfId="0" applyFont="1" applyFill="1" applyBorder="1" applyAlignment="1">
      <alignment horizontal="center" vertical="center" wrapText="1"/>
    </xf>
    <xf numFmtId="0" fontId="2" fillId="66" borderId="33" xfId="0" applyFont="1" applyFill="1" applyBorder="1" applyAlignment="1">
      <alignment horizontal="justify" vertical="center" wrapText="1"/>
    </xf>
    <xf numFmtId="0" fontId="0" fillId="66" borderId="17" xfId="0" applyFill="1" applyBorder="1" applyAlignment="1">
      <alignment horizontal="center" vertical="center" wrapText="1"/>
    </xf>
    <xf numFmtId="0" fontId="3" fillId="66" borderId="17" xfId="0" applyFont="1" applyFill="1" applyBorder="1" applyAlignment="1">
      <alignment horizontal="justify" vertical="center" wrapText="1"/>
    </xf>
    <xf numFmtId="14" fontId="0" fillId="66" borderId="17" xfId="0" applyNumberFormat="1" applyFill="1" applyBorder="1" applyAlignment="1">
      <alignment horizontal="center" vertical="center" wrapText="1"/>
    </xf>
    <xf numFmtId="14" fontId="3" fillId="66" borderId="17" xfId="0" applyNumberFormat="1" applyFont="1" applyFill="1" applyBorder="1" applyAlignment="1">
      <alignment horizontal="center" vertical="center" wrapText="1"/>
    </xf>
    <xf numFmtId="0" fontId="2" fillId="66" borderId="17" xfId="0" applyFont="1" applyFill="1" applyBorder="1" applyAlignment="1">
      <alignment horizontal="center" vertical="center" wrapText="1"/>
    </xf>
    <xf numFmtId="0" fontId="3" fillId="66" borderId="17" xfId="0" applyFont="1" applyFill="1" applyBorder="1" applyAlignment="1">
      <alignment vertical="center" wrapText="1"/>
    </xf>
    <xf numFmtId="14" fontId="2" fillId="66" borderId="17" xfId="0" applyNumberFormat="1" applyFont="1" applyFill="1" applyBorder="1" applyAlignment="1">
      <alignment horizontal="center" vertical="center" wrapText="1"/>
    </xf>
    <xf numFmtId="0" fontId="2" fillId="66" borderId="17" xfId="0" applyFont="1" applyFill="1" applyBorder="1" applyAlignment="1">
      <alignment horizontal="justify" vertical="center" wrapText="1"/>
    </xf>
    <xf numFmtId="0" fontId="5" fillId="67" borderId="2" xfId="988" applyFont="1" applyFill="1" applyBorder="1" applyAlignment="1">
      <alignment horizontal="center" vertical="center"/>
    </xf>
    <xf numFmtId="0" fontId="5" fillId="68" borderId="2" xfId="988" applyFont="1" applyFill="1" applyBorder="1" applyAlignment="1">
      <alignment horizontal="center" vertical="center"/>
    </xf>
    <xf numFmtId="0" fontId="2" fillId="63" borderId="11" xfId="0" applyFont="1" applyFill="1" applyBorder="1" applyAlignment="1">
      <alignment horizontal="center" wrapText="1"/>
    </xf>
    <xf numFmtId="0" fontId="16" fillId="63" borderId="37" xfId="0" applyFont="1" applyFill="1" applyBorder="1" applyAlignment="1">
      <alignment horizontal="center" vertical="center" wrapText="1"/>
    </xf>
    <xf numFmtId="0" fontId="14" fillId="66" borderId="17" xfId="0" applyFont="1" applyFill="1" applyBorder="1" applyAlignment="1">
      <alignment horizontal="center" vertical="center"/>
    </xf>
    <xf numFmtId="0" fontId="14" fillId="66" borderId="17" xfId="0" applyFont="1" applyFill="1" applyBorder="1" applyAlignment="1">
      <alignment horizontal="left" vertical="center" wrapText="1"/>
    </xf>
    <xf numFmtId="14" fontId="14" fillId="66" borderId="17" xfId="0" applyNumberFormat="1" applyFont="1" applyFill="1" applyBorder="1" applyAlignment="1">
      <alignment horizontal="center" vertical="center"/>
    </xf>
    <xf numFmtId="192" fontId="14" fillId="66" borderId="17" xfId="0" applyNumberFormat="1" applyFont="1" applyFill="1" applyBorder="1" applyAlignment="1">
      <alignment horizontal="center" vertical="center"/>
    </xf>
    <xf numFmtId="0" fontId="5" fillId="66" borderId="17" xfId="0" applyFont="1" applyFill="1" applyBorder="1" applyAlignment="1">
      <alignment horizontal="center" vertical="center" wrapText="1"/>
    </xf>
    <xf numFmtId="0" fontId="5" fillId="66" borderId="17" xfId="0" applyFont="1" applyFill="1" applyBorder="1" applyAlignment="1">
      <alignment horizontal="center" vertical="center"/>
    </xf>
    <xf numFmtId="192" fontId="5" fillId="66" borderId="17" xfId="0" applyNumberFormat="1" applyFont="1" applyFill="1" applyBorder="1" applyAlignment="1">
      <alignment horizontal="center" vertical="center"/>
    </xf>
    <xf numFmtId="14" fontId="5" fillId="66" borderId="17" xfId="0" applyNumberFormat="1" applyFont="1" applyFill="1" applyBorder="1" applyAlignment="1">
      <alignment horizontal="center" vertical="center"/>
    </xf>
    <xf numFmtId="0" fontId="4" fillId="70" borderId="38" xfId="992" applyFont="1" applyFill="1" applyBorder="1" applyAlignment="1">
      <alignment vertical="center"/>
    </xf>
    <xf numFmtId="0" fontId="2" fillId="70" borderId="37" xfId="992" applyFont="1" applyFill="1" applyBorder="1" applyAlignment="1">
      <alignment horizontal="right" vertical="center"/>
    </xf>
    <xf numFmtId="0" fontId="4" fillId="70" borderId="39" xfId="992" applyFont="1" applyFill="1" applyBorder="1" applyAlignment="1">
      <alignment vertical="center"/>
    </xf>
    <xf numFmtId="14" fontId="2" fillId="70" borderId="31" xfId="992" applyNumberFormat="1" applyFont="1" applyFill="1" applyBorder="1" applyAlignment="1">
      <alignment horizontal="right" vertical="center"/>
    </xf>
    <xf numFmtId="0" fontId="4" fillId="70" borderId="40" xfId="992" applyFont="1" applyFill="1" applyBorder="1" applyAlignment="1">
      <alignment vertical="center"/>
    </xf>
    <xf numFmtId="14" fontId="2" fillId="70" borderId="32" xfId="992" applyNumberFormat="1" applyFont="1" applyFill="1" applyBorder="1" applyAlignment="1">
      <alignment horizontal="right" vertical="center"/>
    </xf>
    <xf numFmtId="0" fontId="2" fillId="70" borderId="39" xfId="991" applyFont="1" applyFill="1" applyBorder="1" applyAlignment="1">
      <alignment horizontal="right" vertical="center"/>
    </xf>
    <xf numFmtId="0" fontId="2" fillId="70" borderId="36" xfId="991" applyFont="1" applyFill="1" applyBorder="1" applyAlignment="1">
      <alignment horizontal="right" vertical="center"/>
    </xf>
    <xf numFmtId="0" fontId="2" fillId="70" borderId="38" xfId="991" applyFont="1" applyFill="1" applyBorder="1" applyAlignment="1">
      <alignment horizontal="right" vertical="center"/>
    </xf>
    <xf numFmtId="0" fontId="2" fillId="70" borderId="0" xfId="991" applyFont="1" applyFill="1" applyAlignment="1">
      <alignment horizontal="right" vertical="center"/>
    </xf>
    <xf numFmtId="0" fontId="2" fillId="70" borderId="40" xfId="991" applyFont="1" applyFill="1" applyBorder="1" applyAlignment="1">
      <alignment horizontal="right" vertical="center"/>
    </xf>
    <xf numFmtId="0" fontId="2" fillId="70" borderId="21" xfId="991" applyFont="1" applyFill="1" applyBorder="1" applyAlignment="1">
      <alignment horizontal="right" vertical="center"/>
    </xf>
    <xf numFmtId="0" fontId="5" fillId="0" borderId="43" xfId="993" applyFont="1" applyBorder="1" applyAlignment="1">
      <alignment vertical="top" wrapText="1"/>
    </xf>
    <xf numFmtId="0" fontId="4" fillId="70" borderId="38" xfId="989" applyFont="1" applyFill="1" applyBorder="1" applyAlignment="1">
      <alignment vertical="center"/>
    </xf>
    <xf numFmtId="0" fontId="4" fillId="70" borderId="36" xfId="989" applyFont="1" applyFill="1" applyBorder="1" applyAlignment="1">
      <alignment vertical="center"/>
    </xf>
    <xf numFmtId="0" fontId="4" fillId="70" borderId="39" xfId="989" applyFont="1" applyFill="1" applyBorder="1" applyAlignment="1">
      <alignment vertical="center"/>
    </xf>
    <xf numFmtId="0" fontId="4" fillId="70" borderId="0" xfId="989" applyFont="1" applyFill="1" applyAlignment="1">
      <alignment vertical="center"/>
    </xf>
    <xf numFmtId="0" fontId="4" fillId="70" borderId="40" xfId="989" applyFont="1" applyFill="1" applyBorder="1" applyAlignment="1">
      <alignment vertical="center"/>
    </xf>
    <xf numFmtId="0" fontId="4" fillId="70" borderId="21" xfId="989" applyFont="1" applyFill="1" applyBorder="1" applyAlignment="1">
      <alignment vertical="center"/>
    </xf>
    <xf numFmtId="0" fontId="2" fillId="72" borderId="50" xfId="979" applyFont="1" applyFill="1" applyBorder="1" applyAlignment="1">
      <alignment vertical="center" wrapText="1"/>
    </xf>
    <xf numFmtId="0" fontId="2" fillId="72" borderId="35" xfId="979" applyFont="1" applyFill="1" applyBorder="1" applyAlignment="1" applyProtection="1">
      <alignment vertical="center" wrapText="1"/>
      <protection locked="0"/>
    </xf>
    <xf numFmtId="189" fontId="2" fillId="72" borderId="42" xfId="979" applyNumberFormat="1" applyFont="1" applyFill="1" applyBorder="1" applyAlignment="1" applyProtection="1">
      <alignment vertical="center" wrapText="1"/>
      <protection locked="0"/>
    </xf>
    <xf numFmtId="9" fontId="2" fillId="72" borderId="42" xfId="979" applyNumberFormat="1" applyFont="1" applyFill="1" applyBorder="1" applyAlignment="1" applyProtection="1">
      <alignment vertical="center" wrapText="1"/>
      <protection locked="0"/>
    </xf>
    <xf numFmtId="14" fontId="2" fillId="72" borderId="42" xfId="979" applyNumberFormat="1" applyFont="1" applyFill="1" applyBorder="1" applyAlignment="1" applyProtection="1">
      <alignment vertical="center" wrapText="1"/>
      <protection locked="0"/>
    </xf>
    <xf numFmtId="0" fontId="2" fillId="72" borderId="49" xfId="979" applyFont="1" applyFill="1" applyBorder="1" applyAlignment="1" applyProtection="1">
      <alignment vertical="center" wrapText="1"/>
      <protection locked="0"/>
    </xf>
    <xf numFmtId="0" fontId="2" fillId="72" borderId="17" xfId="979" applyFont="1" applyFill="1" applyBorder="1" applyAlignment="1">
      <alignment vertical="center" wrapText="1"/>
    </xf>
    <xf numFmtId="0" fontId="2" fillId="72" borderId="42" xfId="979" applyFont="1" applyFill="1" applyBorder="1" applyAlignment="1" applyProtection="1">
      <alignment vertical="center" wrapText="1"/>
      <protection locked="0"/>
    </xf>
    <xf numFmtId="191" fontId="2" fillId="72" borderId="49" xfId="979" applyNumberFormat="1" applyFont="1" applyFill="1" applyBorder="1" applyAlignment="1" applyProtection="1">
      <alignment vertical="center" wrapText="1"/>
      <protection locked="0"/>
    </xf>
    <xf numFmtId="0" fontId="12" fillId="0" borderId="0" xfId="979" applyFont="1"/>
    <xf numFmtId="0" fontId="12" fillId="0" borderId="0" xfId="979" applyFont="1" applyAlignment="1">
      <alignment horizontal="center"/>
    </xf>
    <xf numFmtId="0" fontId="12" fillId="71" borderId="17" xfId="0" applyFont="1" applyFill="1" applyBorder="1" applyAlignment="1">
      <alignment vertical="center" wrapText="1"/>
    </xf>
    <xf numFmtId="0" fontId="13" fillId="75" borderId="17" xfId="0" applyFont="1" applyFill="1" applyBorder="1" applyAlignment="1">
      <alignment horizontal="center" vertical="center" wrapText="1"/>
    </xf>
    <xf numFmtId="0" fontId="2" fillId="0" borderId="17" xfId="0" applyFont="1" applyBorder="1" applyAlignment="1">
      <alignment horizontal="center" vertical="center" wrapText="1"/>
    </xf>
    <xf numFmtId="0" fontId="1" fillId="0" borderId="17" xfId="0" applyFont="1" applyBorder="1" applyAlignment="1">
      <alignment vertical="center" wrapText="1"/>
    </xf>
    <xf numFmtId="0" fontId="1" fillId="0" borderId="0" xfId="979" applyFont="1"/>
    <xf numFmtId="0" fontId="1" fillId="0" borderId="0" xfId="0" applyFont="1" applyAlignment="1">
      <alignment vertical="center" wrapText="1"/>
    </xf>
    <xf numFmtId="0" fontId="1" fillId="76" borderId="17" xfId="979" applyFont="1" applyFill="1" applyBorder="1" applyAlignment="1">
      <alignment vertical="center"/>
    </xf>
    <xf numFmtId="0" fontId="2" fillId="76" borderId="0" xfId="979" applyFont="1" applyFill="1" applyAlignment="1">
      <alignment vertical="center"/>
    </xf>
    <xf numFmtId="14" fontId="1" fillId="0" borderId="17" xfId="0" applyNumberFormat="1" applyFont="1" applyBorder="1" applyAlignment="1">
      <alignment vertical="center" wrapText="1"/>
    </xf>
    <xf numFmtId="0" fontId="4" fillId="70" borderId="38" xfId="990" applyFont="1" applyFill="1" applyBorder="1" applyAlignment="1">
      <alignment horizontal="center" vertical="center"/>
    </xf>
    <xf numFmtId="0" fontId="4" fillId="70" borderId="55" xfId="990" applyFont="1" applyFill="1"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9" xfId="0" applyBorder="1" applyAlignment="1">
      <alignment horizontal="center" vertical="center"/>
    </xf>
    <xf numFmtId="0" fontId="0" fillId="0" borderId="0" xfId="0" applyAlignment="1">
      <alignment horizontal="center" vertical="center"/>
    </xf>
    <xf numFmtId="0" fontId="0" fillId="0" borderId="31" xfId="0" applyBorder="1" applyAlignment="1">
      <alignment horizontal="center" vertical="center"/>
    </xf>
    <xf numFmtId="0" fontId="0" fillId="0" borderId="40" xfId="0" applyBorder="1" applyAlignment="1">
      <alignment horizontal="center" vertical="center"/>
    </xf>
    <xf numFmtId="0" fontId="0" fillId="0" borderId="21" xfId="0" applyBorder="1" applyAlignment="1">
      <alignment horizontal="center" vertical="center"/>
    </xf>
    <xf numFmtId="0" fontId="0" fillId="0" borderId="32" xfId="0" applyBorder="1" applyAlignment="1">
      <alignment horizontal="center" vertical="center"/>
    </xf>
    <xf numFmtId="0" fontId="2" fillId="70" borderId="36" xfId="990" applyFont="1" applyFill="1" applyBorder="1" applyAlignment="1">
      <alignment horizontal="right" vertical="center"/>
    </xf>
    <xf numFmtId="0" fontId="2" fillId="70" borderId="37" xfId="990" applyFont="1" applyFill="1" applyBorder="1" applyAlignment="1">
      <alignment horizontal="right" vertical="center"/>
    </xf>
    <xf numFmtId="14" fontId="2" fillId="70" borderId="0" xfId="990" applyNumberFormat="1" applyFont="1" applyFill="1" applyAlignment="1">
      <alignment horizontal="right" vertical="center"/>
    </xf>
    <xf numFmtId="0" fontId="2" fillId="70" borderId="0" xfId="990" applyFont="1" applyFill="1" applyAlignment="1">
      <alignment horizontal="right" vertical="center"/>
    </xf>
    <xf numFmtId="0" fontId="2" fillId="70" borderId="31" xfId="990" applyFont="1" applyFill="1" applyBorder="1" applyAlignment="1">
      <alignment horizontal="right" vertical="center"/>
    </xf>
    <xf numFmtId="14" fontId="2" fillId="70" borderId="21" xfId="990" applyNumberFormat="1" applyFont="1" applyFill="1" applyBorder="1" applyAlignment="1">
      <alignment horizontal="right" vertical="center"/>
    </xf>
    <xf numFmtId="0" fontId="2" fillId="70" borderId="21" xfId="990" applyFont="1" applyFill="1" applyBorder="1" applyAlignment="1">
      <alignment horizontal="right" vertical="center"/>
    </xf>
    <xf numFmtId="0" fontId="2" fillId="70" borderId="32" xfId="990" applyFont="1" applyFill="1" applyBorder="1" applyAlignment="1">
      <alignment horizontal="right" vertical="center"/>
    </xf>
    <xf numFmtId="1" fontId="2" fillId="75" borderId="42" xfId="979" applyNumberFormat="1" applyFont="1" applyFill="1" applyBorder="1" applyAlignment="1">
      <alignment horizontal="center" vertical="center"/>
    </xf>
    <xf numFmtId="1" fontId="2" fillId="75" borderId="10" xfId="979" applyNumberFormat="1" applyFont="1" applyFill="1" applyBorder="1" applyAlignment="1">
      <alignment horizontal="center" vertical="center"/>
    </xf>
    <xf numFmtId="1" fontId="2" fillId="75" borderId="35" xfId="979" applyNumberFormat="1" applyFont="1" applyFill="1" applyBorder="1" applyAlignment="1">
      <alignment horizontal="center" vertical="center"/>
    </xf>
    <xf numFmtId="1" fontId="2" fillId="71" borderId="42" xfId="979" applyNumberFormat="1" applyFont="1" applyFill="1" applyBorder="1" applyAlignment="1">
      <alignment horizontal="center" vertical="center"/>
    </xf>
    <xf numFmtId="1" fontId="2" fillId="71" borderId="10" xfId="979" applyNumberFormat="1" applyFont="1" applyFill="1" applyBorder="1" applyAlignment="1">
      <alignment horizontal="center" vertical="center"/>
    </xf>
    <xf numFmtId="1" fontId="2" fillId="71" borderId="35" xfId="979" applyNumberFormat="1" applyFont="1" applyFill="1" applyBorder="1" applyAlignment="1">
      <alignment horizontal="center" vertical="center"/>
    </xf>
    <xf numFmtId="0" fontId="20" fillId="73" borderId="2" xfId="989" applyFont="1" applyFill="1" applyBorder="1" applyAlignment="1">
      <alignment horizontal="center" vertical="center"/>
    </xf>
    <xf numFmtId="0" fontId="14" fillId="74" borderId="2" xfId="989" applyFont="1" applyFill="1" applyBorder="1" applyAlignment="1">
      <alignment vertical="center" wrapText="1"/>
    </xf>
    <xf numFmtId="0" fontId="14" fillId="74" borderId="2" xfId="989" applyFont="1" applyFill="1" applyBorder="1" applyAlignment="1">
      <alignment vertical="center"/>
    </xf>
    <xf numFmtId="0" fontId="4" fillId="74" borderId="52" xfId="989" applyFont="1" applyFill="1" applyBorder="1" applyAlignment="1">
      <alignment horizontal="center" vertical="center"/>
    </xf>
    <xf numFmtId="0" fontId="4" fillId="74" borderId="25" xfId="989" applyFont="1" applyFill="1" applyBorder="1" applyAlignment="1">
      <alignment horizontal="center" vertical="center"/>
    </xf>
    <xf numFmtId="0" fontId="4" fillId="74" borderId="53" xfId="989" applyFont="1" applyFill="1" applyBorder="1" applyAlignment="1">
      <alignment horizontal="center" vertical="center"/>
    </xf>
    <xf numFmtId="0" fontId="20" fillId="73" borderId="2" xfId="989" applyFont="1" applyFill="1" applyBorder="1" applyAlignment="1">
      <alignment horizontal="center" vertical="center" wrapText="1"/>
    </xf>
    <xf numFmtId="0" fontId="5" fillId="74" borderId="2" xfId="989" applyFont="1" applyFill="1" applyBorder="1" applyAlignment="1">
      <alignment vertical="center" wrapText="1"/>
    </xf>
    <xf numFmtId="0" fontId="5" fillId="74" borderId="2" xfId="989" applyFont="1" applyFill="1" applyBorder="1" applyAlignment="1">
      <alignment vertical="center"/>
    </xf>
    <xf numFmtId="0" fontId="2" fillId="70" borderId="38" xfId="989" applyFont="1" applyFill="1" applyBorder="1" applyAlignment="1">
      <alignment horizontal="right" vertical="center"/>
    </xf>
    <xf numFmtId="0" fontId="2" fillId="70" borderId="36" xfId="989" applyFont="1" applyFill="1" applyBorder="1" applyAlignment="1">
      <alignment horizontal="right" vertical="center"/>
    </xf>
    <xf numFmtId="0" fontId="2" fillId="70" borderId="37" xfId="989" applyFont="1" applyFill="1" applyBorder="1" applyAlignment="1">
      <alignment horizontal="right" vertical="center"/>
    </xf>
    <xf numFmtId="14" fontId="2" fillId="69" borderId="39" xfId="318" applyFont="1" applyFill="1" applyBorder="1" applyAlignment="1" applyProtection="1">
      <alignment horizontal="right"/>
    </xf>
    <xf numFmtId="14" fontId="3" fillId="69" borderId="0" xfId="318" applyFill="1" applyBorder="1" applyAlignment="1" applyProtection="1">
      <alignment horizontal="right"/>
    </xf>
    <xf numFmtId="14" fontId="3" fillId="69" borderId="31" xfId="318" applyFill="1" applyBorder="1" applyAlignment="1" applyProtection="1">
      <alignment horizontal="right"/>
    </xf>
    <xf numFmtId="14" fontId="2" fillId="69" borderId="40" xfId="318" applyFont="1" applyFill="1" applyBorder="1" applyAlignment="1" applyProtection="1">
      <alignment horizontal="right"/>
    </xf>
    <xf numFmtId="14" fontId="3" fillId="69" borderId="21" xfId="318" applyFill="1" applyBorder="1" applyAlignment="1" applyProtection="1">
      <alignment horizontal="right"/>
    </xf>
    <xf numFmtId="14" fontId="3" fillId="69" borderId="32" xfId="318" applyFill="1" applyBorder="1" applyAlignment="1" applyProtection="1">
      <alignment horizontal="right"/>
    </xf>
    <xf numFmtId="0" fontId="6" fillId="74" borderId="2" xfId="989" applyFont="1" applyFill="1" applyBorder="1" applyAlignment="1">
      <alignment horizontal="center" vertical="center"/>
    </xf>
    <xf numFmtId="0" fontId="2" fillId="70" borderId="38" xfId="991" applyFont="1" applyFill="1" applyBorder="1" applyAlignment="1">
      <alignment horizontal="right" vertical="center"/>
    </xf>
    <xf numFmtId="0" fontId="2" fillId="70" borderId="37" xfId="991" applyFont="1" applyFill="1" applyBorder="1" applyAlignment="1">
      <alignment horizontal="right" vertical="center"/>
    </xf>
    <xf numFmtId="14" fontId="2" fillId="70" borderId="39" xfId="991" applyNumberFormat="1" applyFont="1" applyFill="1" applyBorder="1" applyAlignment="1">
      <alignment horizontal="right" vertical="center"/>
    </xf>
    <xf numFmtId="14" fontId="2" fillId="70" borderId="31" xfId="991" applyNumberFormat="1" applyFont="1" applyFill="1" applyBorder="1" applyAlignment="1">
      <alignment horizontal="right" vertical="center"/>
    </xf>
    <xf numFmtId="0" fontId="2" fillId="70" borderId="40" xfId="991" applyFont="1" applyFill="1" applyBorder="1" applyAlignment="1">
      <alignment horizontal="right" vertical="center"/>
    </xf>
    <xf numFmtId="0" fontId="2" fillId="70" borderId="32" xfId="991" applyFont="1" applyFill="1" applyBorder="1" applyAlignment="1">
      <alignment horizontal="right" vertical="center"/>
    </xf>
    <xf numFmtId="0" fontId="2" fillId="75" borderId="42" xfId="979" applyFont="1" applyFill="1" applyBorder="1" applyAlignment="1">
      <alignment horizontal="center"/>
    </xf>
    <xf numFmtId="0" fontId="2" fillId="75" borderId="10" xfId="979" applyFont="1" applyFill="1" applyBorder="1" applyAlignment="1">
      <alignment horizontal="center"/>
    </xf>
    <xf numFmtId="0" fontId="2" fillId="75" borderId="35" xfId="979" applyFont="1" applyFill="1" applyBorder="1" applyAlignment="1">
      <alignment horizontal="center"/>
    </xf>
    <xf numFmtId="0" fontId="2" fillId="75" borderId="42" xfId="979" applyFont="1" applyFill="1" applyBorder="1" applyAlignment="1">
      <alignment horizontal="center" vertical="center"/>
    </xf>
    <xf numFmtId="0" fontId="2" fillId="75" borderId="10" xfId="979" applyFont="1" applyFill="1" applyBorder="1" applyAlignment="1">
      <alignment horizontal="center" vertical="center"/>
    </xf>
    <xf numFmtId="0" fontId="2" fillId="75" borderId="35" xfId="979" applyFont="1" applyFill="1" applyBorder="1" applyAlignment="1">
      <alignment horizontal="center" vertical="center"/>
    </xf>
    <xf numFmtId="0" fontId="2" fillId="75" borderId="42" xfId="0" applyFont="1" applyFill="1" applyBorder="1" applyAlignment="1">
      <alignment horizontal="center" vertical="center" wrapText="1"/>
    </xf>
    <xf numFmtId="0" fontId="2" fillId="75" borderId="10" xfId="0" applyFont="1" applyFill="1" applyBorder="1" applyAlignment="1">
      <alignment horizontal="center" vertical="center" wrapText="1"/>
    </xf>
    <xf numFmtId="0" fontId="2" fillId="75" borderId="35" xfId="0" applyFont="1" applyFill="1" applyBorder="1" applyAlignment="1">
      <alignment horizontal="center" vertical="center" wrapText="1"/>
    </xf>
    <xf numFmtId="0" fontId="2" fillId="70" borderId="54" xfId="979" applyFont="1" applyFill="1" applyBorder="1" applyAlignment="1">
      <alignment horizontal="right" wrapText="1"/>
    </xf>
    <xf numFmtId="0" fontId="2" fillId="70" borderId="36" xfId="979" applyFont="1" applyFill="1" applyBorder="1" applyAlignment="1">
      <alignment horizontal="right" wrapText="1"/>
    </xf>
    <xf numFmtId="0" fontId="2" fillId="70" borderId="37" xfId="979" applyFont="1" applyFill="1" applyBorder="1" applyAlignment="1">
      <alignment horizontal="right" wrapText="1"/>
    </xf>
    <xf numFmtId="14" fontId="2" fillId="70" borderId="18" xfId="979" applyNumberFormat="1" applyFont="1" applyFill="1" applyBorder="1" applyAlignment="1">
      <alignment horizontal="right" wrapText="1"/>
    </xf>
    <xf numFmtId="14" fontId="2" fillId="70" borderId="0" xfId="979" applyNumberFormat="1" applyFont="1" applyFill="1" applyAlignment="1">
      <alignment horizontal="right" wrapText="1"/>
    </xf>
    <xf numFmtId="14" fontId="2" fillId="70" borderId="31" xfId="979" applyNumberFormat="1" applyFont="1" applyFill="1" applyBorder="1" applyAlignment="1">
      <alignment horizontal="right" wrapText="1"/>
    </xf>
    <xf numFmtId="0" fontId="2" fillId="70" borderId="41" xfId="979" applyFont="1" applyFill="1" applyBorder="1" applyAlignment="1">
      <alignment horizontal="right" wrapText="1"/>
    </xf>
    <xf numFmtId="0" fontId="2" fillId="70" borderId="21" xfId="979" applyFont="1" applyFill="1" applyBorder="1" applyAlignment="1">
      <alignment horizontal="right" wrapText="1"/>
    </xf>
    <xf numFmtId="0" fontId="2" fillId="70" borderId="32" xfId="979" applyFont="1" applyFill="1" applyBorder="1" applyAlignment="1">
      <alignment horizontal="right" wrapText="1"/>
    </xf>
    <xf numFmtId="0" fontId="6" fillId="69" borderId="38" xfId="979" applyFont="1" applyFill="1" applyBorder="1" applyAlignment="1">
      <alignment horizontal="center" vertical="center"/>
    </xf>
    <xf numFmtId="0" fontId="6" fillId="69" borderId="36" xfId="979" applyFont="1" applyFill="1" applyBorder="1" applyAlignment="1">
      <alignment horizontal="center" vertical="center"/>
    </xf>
    <xf numFmtId="0" fontId="6" fillId="69" borderId="39" xfId="979" applyFont="1" applyFill="1" applyBorder="1" applyAlignment="1">
      <alignment horizontal="center" vertical="center"/>
    </xf>
    <xf numFmtId="0" fontId="6" fillId="69" borderId="0" xfId="979" applyFont="1" applyFill="1" applyAlignment="1">
      <alignment horizontal="center" vertical="center"/>
    </xf>
    <xf numFmtId="0" fontId="6" fillId="69" borderId="40" xfId="979" applyFont="1" applyFill="1" applyBorder="1" applyAlignment="1">
      <alignment horizontal="center" vertical="center"/>
    </xf>
    <xf numFmtId="0" fontId="6" fillId="69" borderId="21" xfId="979" applyFont="1" applyFill="1" applyBorder="1" applyAlignment="1">
      <alignment horizontal="center" vertical="center"/>
    </xf>
    <xf numFmtId="0" fontId="2" fillId="70" borderId="36" xfId="991" applyFont="1" applyFill="1" applyBorder="1" applyAlignment="1">
      <alignment horizontal="right" vertical="center"/>
    </xf>
    <xf numFmtId="0" fontId="2" fillId="70" borderId="0" xfId="991" applyFont="1" applyFill="1" applyAlignment="1">
      <alignment horizontal="right" vertical="center"/>
    </xf>
    <xf numFmtId="0" fontId="2" fillId="70" borderId="21" xfId="991" applyFont="1" applyFill="1" applyBorder="1" applyAlignment="1">
      <alignment horizontal="right" vertical="center"/>
    </xf>
    <xf numFmtId="0" fontId="14" fillId="66" borderId="17" xfId="0" applyFont="1" applyFill="1" applyBorder="1" applyAlignment="1">
      <alignment horizontal="left" vertical="center" wrapText="1"/>
    </xf>
    <xf numFmtId="0" fontId="5" fillId="66" borderId="17" xfId="0" applyFont="1" applyFill="1" applyBorder="1" applyAlignment="1">
      <alignment horizontal="center" vertical="center" wrapText="1"/>
    </xf>
    <xf numFmtId="0" fontId="16" fillId="63" borderId="38" xfId="0" applyFont="1" applyFill="1" applyBorder="1" applyAlignment="1">
      <alignment horizontal="center" vertical="center" wrapText="1"/>
    </xf>
    <xf numFmtId="0" fontId="16" fillId="63" borderId="36" xfId="0" applyFont="1" applyFill="1" applyBorder="1" applyAlignment="1">
      <alignment horizontal="center" vertical="center" wrapText="1"/>
    </xf>
    <xf numFmtId="0" fontId="16" fillId="63" borderId="37" xfId="0" applyFont="1" applyFill="1" applyBorder="1" applyAlignment="1">
      <alignment horizontal="center" vertical="center" wrapText="1"/>
    </xf>
    <xf numFmtId="0" fontId="2" fillId="71" borderId="42" xfId="979" applyFont="1" applyFill="1" applyBorder="1" applyAlignment="1">
      <alignment horizontal="center" vertical="center"/>
    </xf>
    <xf numFmtId="0" fontId="2" fillId="71" borderId="10" xfId="979" applyFont="1" applyFill="1" applyBorder="1" applyAlignment="1">
      <alignment horizontal="center" vertical="center"/>
    </xf>
    <xf numFmtId="0" fontId="2" fillId="71" borderId="35" xfId="979" applyFont="1" applyFill="1" applyBorder="1" applyAlignment="1">
      <alignment horizontal="center" vertical="center"/>
    </xf>
    <xf numFmtId="0" fontId="2" fillId="71" borderId="42" xfId="0" applyFont="1" applyFill="1" applyBorder="1" applyAlignment="1">
      <alignment horizontal="center" vertical="center" wrapText="1"/>
    </xf>
    <xf numFmtId="0" fontId="2" fillId="71" borderId="10" xfId="0" applyFont="1" applyFill="1" applyBorder="1" applyAlignment="1">
      <alignment horizontal="center" vertical="center" wrapText="1"/>
    </xf>
    <xf numFmtId="0" fontId="2" fillId="71" borderId="35" xfId="0" applyFont="1" applyFill="1" applyBorder="1" applyAlignment="1">
      <alignment horizontal="center" vertical="center" wrapText="1"/>
    </xf>
    <xf numFmtId="0" fontId="2" fillId="71" borderId="42" xfId="979" applyFont="1" applyFill="1" applyBorder="1" applyAlignment="1">
      <alignment horizontal="center"/>
    </xf>
    <xf numFmtId="0" fontId="2" fillId="71" borderId="10" xfId="979" applyFont="1" applyFill="1" applyBorder="1" applyAlignment="1">
      <alignment horizontal="center"/>
    </xf>
    <xf numFmtId="0" fontId="2" fillId="71" borderId="35" xfId="979" applyFont="1" applyFill="1" applyBorder="1" applyAlignment="1">
      <alignment horizontal="center"/>
    </xf>
    <xf numFmtId="0" fontId="1" fillId="71" borderId="42" xfId="0" applyFont="1" applyFill="1" applyBorder="1" applyAlignment="1">
      <alignment horizontal="center" vertical="center" wrapText="1"/>
    </xf>
    <xf numFmtId="0" fontId="1" fillId="71" borderId="10" xfId="0" applyFont="1" applyFill="1" applyBorder="1" applyAlignment="1">
      <alignment horizontal="center" vertical="center" wrapText="1"/>
    </xf>
    <xf numFmtId="0" fontId="1" fillId="71" borderId="35" xfId="0" applyFont="1" applyFill="1" applyBorder="1" applyAlignment="1">
      <alignment horizontal="center" vertical="center" wrapText="1"/>
    </xf>
    <xf numFmtId="0" fontId="8" fillId="71" borderId="0" xfId="0" applyFont="1" applyFill="1" applyAlignment="1">
      <alignment horizontal="center" wrapText="1"/>
    </xf>
    <xf numFmtId="0" fontId="0" fillId="71" borderId="0" xfId="0" applyFill="1" applyAlignment="1">
      <alignment wrapText="1"/>
    </xf>
    <xf numFmtId="14" fontId="1" fillId="76" borderId="17" xfId="979" applyNumberFormat="1" applyFont="1" applyFill="1" applyBorder="1" applyAlignment="1">
      <alignment vertical="center"/>
    </xf>
  </cellXfs>
  <cellStyles count="1206">
    <cellStyle name=" 1" xfId="1" xr:uid="{00000000-0005-0000-0000-000000000000}"/>
    <cellStyle name="_0 - Getting Started" xfId="2" xr:uid="{00000000-0005-0000-0000-000001000000}"/>
    <cellStyle name="_0 - Getting Started 2" xfId="3" xr:uid="{00000000-0005-0000-0000-000002000000}"/>
    <cellStyle name="_0 - Getting Started_5-Charges MO" xfId="4" xr:uid="{00000000-0005-0000-0000-000003000000}"/>
    <cellStyle name="_0 - Getting Started_83090147-DDQ-TAV-EN-001_OUTILS_PILOTAGE" xfId="5" xr:uid="{00000000-0005-0000-0000-000004000000}"/>
    <cellStyle name="_0 - Getting Started_83090147-DDQ-TAV-EN-001_OUTILS_PILOTAGE-1" xfId="6" xr:uid="{00000000-0005-0000-0000-000005000000}"/>
    <cellStyle name="_0 - Getting Started_dossierpilotage_dts_2012_10_19" xfId="7" xr:uid="{00000000-0005-0000-0000-000006000000}"/>
    <cellStyle name="_1 - Fiche descriptive" xfId="8" xr:uid="{00000000-0005-0000-0000-000007000000}"/>
    <cellStyle name="_1 - Fiche descriptive 2" xfId="9" xr:uid="{00000000-0005-0000-0000-000008000000}"/>
    <cellStyle name="_1 - Fiche descriptive_5-Charges MO" xfId="10" xr:uid="{00000000-0005-0000-0000-000009000000}"/>
    <cellStyle name="_1 - Fiche descriptive_83090147-DDQ-TAV-EN-001_OUTILS_PILOTAGE" xfId="11" xr:uid="{00000000-0005-0000-0000-00000A000000}"/>
    <cellStyle name="_1 - Fiche descriptive_83090147-DDQ-TAV-EN-001_OUTILS_PILOTAGE-1" xfId="12" xr:uid="{00000000-0005-0000-0000-00000B000000}"/>
    <cellStyle name="_1 - Fiche descriptive_dossierpilotage_dts_2012_10_19" xfId="13" xr:uid="{00000000-0005-0000-0000-00000C000000}"/>
    <cellStyle name="_10 -  Concep. à coût Ob TSA" xfId="14" xr:uid="{00000000-0005-0000-0000-00000D000000}"/>
    <cellStyle name="_10 -  Concep. à coût Ob TSA 2" xfId="15" xr:uid="{00000000-0005-0000-0000-00000E000000}"/>
    <cellStyle name="_10 -  Concep. à coût Ob TSA_5-Charges MO" xfId="16" xr:uid="{00000000-0005-0000-0000-00000F000000}"/>
    <cellStyle name="_10 -  Concep. à coût Ob TSA_83090147-DDQ-TAV-EN-001_OUTILS_PILOTAGE" xfId="17" xr:uid="{00000000-0005-0000-0000-000010000000}"/>
    <cellStyle name="_10 -  Concep. à coût Ob TSA_83090147-DDQ-TAV-EN-001_OUTILS_PILOTAGE-1" xfId="18" xr:uid="{00000000-0005-0000-0000-000011000000}"/>
    <cellStyle name="_10 -  Concep. à coût Ob TSA_dossierpilotage_dts_2012_10_19" xfId="19" xr:uid="{00000000-0005-0000-0000-000012000000}"/>
    <cellStyle name="_2 - Evènements clés" xfId="20" xr:uid="{00000000-0005-0000-0000-000013000000}"/>
    <cellStyle name="_2 - Evènements clés 2" xfId="21" xr:uid="{00000000-0005-0000-0000-000014000000}"/>
    <cellStyle name="_2 - Evènements clés_5-Charges MO" xfId="22" xr:uid="{00000000-0005-0000-0000-000015000000}"/>
    <cellStyle name="_2 - Evènements clés_83090147-DDQ-TAV-EN-001_OUTILS_PILOTAGE" xfId="23" xr:uid="{00000000-0005-0000-0000-000016000000}"/>
    <cellStyle name="_2 - Evènements clés_83090147-DDQ-TAV-EN-001_OUTILS_PILOTAGE-1" xfId="24" xr:uid="{00000000-0005-0000-0000-000017000000}"/>
    <cellStyle name="_2 - Evènements clés_dossierpilotage_dts_2012_10_19" xfId="25" xr:uid="{00000000-0005-0000-0000-000018000000}"/>
    <cellStyle name="_3 - Plaintes client &amp; pb Majeur" xfId="26" xr:uid="{00000000-0005-0000-0000-000019000000}"/>
    <cellStyle name="_3 - Plaintes client &amp; pb Majeur 2" xfId="27" xr:uid="{00000000-0005-0000-0000-00001A000000}"/>
    <cellStyle name="_3 - Plaintes client &amp; pb Majeur_5-Charges MO" xfId="28" xr:uid="{00000000-0005-0000-0000-00001B000000}"/>
    <cellStyle name="_3 - Plaintes client &amp; pb Majeur_83090147-DDQ-TAV-EN-001_OUTILS_PILOTAGE" xfId="29" xr:uid="{00000000-0005-0000-0000-00001C000000}"/>
    <cellStyle name="_3 - Plaintes client &amp; pb Majeur_83090147-DDQ-TAV-EN-001_OUTILS_PILOTAGE-1" xfId="30" xr:uid="{00000000-0005-0000-0000-00001D000000}"/>
    <cellStyle name="_3 - Plaintes client &amp; pb Majeur_dossierpilotage_dts_2012_10_19" xfId="31" xr:uid="{00000000-0005-0000-0000-00001E000000}"/>
    <cellStyle name="_4 - Planning directeur" xfId="32" xr:uid="{00000000-0005-0000-0000-00001F000000}"/>
    <cellStyle name="_4 - Planning directeur 2" xfId="33" xr:uid="{00000000-0005-0000-0000-000020000000}"/>
    <cellStyle name="_4 - Planning directeur_5-Charges MO" xfId="34" xr:uid="{00000000-0005-0000-0000-000021000000}"/>
    <cellStyle name="_4 - Planning directeur_83090147-DDQ-TAV-EN-001_OUTILS_PILOTAGE" xfId="35" xr:uid="{00000000-0005-0000-0000-000022000000}"/>
    <cellStyle name="_4 - Planning directeur_83090147-DDQ-TAV-EN-001_OUTILS_PILOTAGE-1" xfId="36" xr:uid="{00000000-0005-0000-0000-000023000000}"/>
    <cellStyle name="_4 - Planning directeur_dossierpilotage_dts_2012_10_19" xfId="37" xr:uid="{00000000-0005-0000-0000-000024000000}"/>
    <cellStyle name="_5 - Risques" xfId="38" xr:uid="{00000000-0005-0000-0000-000025000000}"/>
    <cellStyle name="_5 - Risques 2" xfId="39" xr:uid="{00000000-0005-0000-0000-000026000000}"/>
    <cellStyle name="_5 - Risques_5-Charges MO" xfId="40" xr:uid="{00000000-0005-0000-0000-000027000000}"/>
    <cellStyle name="_5 - Risques_83090147-DDQ-TAV-EN-001_OUTILS_PILOTAGE" xfId="41" xr:uid="{00000000-0005-0000-0000-000028000000}"/>
    <cellStyle name="_5 - Risques_83090147-DDQ-TAV-EN-001_OUTILS_PILOTAGE-1" xfId="42" xr:uid="{00000000-0005-0000-0000-000029000000}"/>
    <cellStyle name="_5 - Risques_dossierpilotage_dts_2012_10_19" xfId="43" xr:uid="{00000000-0005-0000-0000-00002A000000}"/>
    <cellStyle name="_6 - Opportunités" xfId="44" xr:uid="{00000000-0005-0000-0000-00002B000000}"/>
    <cellStyle name="_6 - Opportunités 2" xfId="45" xr:uid="{00000000-0005-0000-0000-00002C000000}"/>
    <cellStyle name="_6 - Opportunités_5-Charges MO" xfId="46" xr:uid="{00000000-0005-0000-0000-00002D000000}"/>
    <cellStyle name="_6 - Opportunités_83090147-DDQ-TAV-EN-001_OUTILS_PILOTAGE" xfId="47" xr:uid="{00000000-0005-0000-0000-00002E000000}"/>
    <cellStyle name="_6 - Opportunités_83090147-DDQ-TAV-EN-001_OUTILS_PILOTAGE-1" xfId="48" xr:uid="{00000000-0005-0000-0000-00002F000000}"/>
    <cellStyle name="_6 - Opportunités_dossierpilotage_dts_2012_10_19" xfId="49" xr:uid="{00000000-0005-0000-0000-000030000000}"/>
    <cellStyle name="_7 - Recommandations AQ" xfId="50" xr:uid="{00000000-0005-0000-0000-000031000000}"/>
    <cellStyle name="_7 - Recommandations AQ 2" xfId="51" xr:uid="{00000000-0005-0000-0000-000032000000}"/>
    <cellStyle name="_7 - Recommandations AQ_5-Charges MO" xfId="52" xr:uid="{00000000-0005-0000-0000-000033000000}"/>
    <cellStyle name="_7 - Recommandations AQ_83090147-DDQ-TAV-EN-001_OUTILS_PILOTAGE" xfId="53" xr:uid="{00000000-0005-0000-0000-000034000000}"/>
    <cellStyle name="_7 - Recommandations AQ_83090147-DDQ-TAV-EN-001_OUTILS_PILOTAGE-1" xfId="54" xr:uid="{00000000-0005-0000-0000-000035000000}"/>
    <cellStyle name="_7 - Recommandations AQ_dossierpilotage_dts_2012_10_19" xfId="55" xr:uid="{00000000-0005-0000-0000-000036000000}"/>
    <cellStyle name="_87201044-MGPR-GRP-EN-Draft002-Project_reporting_template_b_20110121" xfId="56" xr:uid="{00000000-0005-0000-0000-000037000000}"/>
    <cellStyle name="_87201044-MGPR-GRP-EN-Draft002-Project_reporting_template_b_20110121_83090147-DDQ-TAV-EN-001_OUTILS_PILOTAGE" xfId="57" xr:uid="{00000000-0005-0000-0000-000038000000}"/>
    <cellStyle name="_87201044-MGPR-GRP-EN-Draft002-Project_reporting_template_b_20110121_83090147-DDQ-TAV-EN-001_OUTILS_PILOTAGE-1" xfId="58" xr:uid="{00000000-0005-0000-0000-000039000000}"/>
    <cellStyle name="_87201044-MGPR-GRP-EN-Draft002-Project_reporting_template_b_20110121_dossierpilotage_dts_2012_10_19" xfId="59" xr:uid="{00000000-0005-0000-0000-00003A000000}"/>
    <cellStyle name="_87201044-MGPR-GRP-FR-Draft002-Modele_reporting_projet_c_20110130" xfId="60" xr:uid="{00000000-0005-0000-0000-00003B000000}"/>
    <cellStyle name="_87201044-MGPR-GRP-FR-Draft002-Modele_reporting_projet_c_20110130_83090147-DDQ-TAV-EN-001_OUTILS_PILOTAGE" xfId="61" xr:uid="{00000000-0005-0000-0000-00003C000000}"/>
    <cellStyle name="_87201044-MGPR-GRP-FR-Draft002-Modele_reporting_projet_c_20110130_83090147-DDQ-TAV-EN-001_OUTILS_PILOTAGE-1" xfId="62" xr:uid="{00000000-0005-0000-0000-00003D000000}"/>
    <cellStyle name="_87201044-MGPR-GRP-FR-Draft002-Modele_reporting_projet_c_20110130_dossierpilotage_dts_2012_10_19" xfId="63" xr:uid="{00000000-0005-0000-0000-00003E000000}"/>
    <cellStyle name="_87201044-PRJ-GRP-en" xfId="64" xr:uid="{00000000-0005-0000-0000-00003F000000}"/>
    <cellStyle name="_87201044-PRJ-GRP-en_5-Charges MO" xfId="65" xr:uid="{00000000-0005-0000-0000-000040000000}"/>
    <cellStyle name="_87201044-PRJ-GRP-fr" xfId="66" xr:uid="{00000000-0005-0000-0000-000041000000}"/>
    <cellStyle name="_87201044-PRJ-GRP-fr 2" xfId="67" xr:uid="{00000000-0005-0000-0000-000042000000}"/>
    <cellStyle name="_87201044-PRJ-GRP-fr_5-Charges MO" xfId="68" xr:uid="{00000000-0005-0000-0000-000043000000}"/>
    <cellStyle name="_87201247-EN-001-Project Monitoring Dashboard File" xfId="69" xr:uid="{00000000-0005-0000-0000-000044000000}"/>
    <cellStyle name="_87201247-EN-001-Project_Monitoring_Dashboard_File" xfId="70" xr:uid="{00000000-0005-0000-0000-000045000000}"/>
    <cellStyle name="_87201247-EN-001-Project_Monitoring_Dashboard_File_83090147-DDQ-TAV-EN-001_OUTILS_PILOTAGE" xfId="71" xr:uid="{00000000-0005-0000-0000-000046000000}"/>
    <cellStyle name="_87201247-EN-001-Project_Monitoring_Dashboard_File_83090147-DDQ-TAV-EN-001_OUTILS_PILOTAGE-1" xfId="72" xr:uid="{00000000-0005-0000-0000-000047000000}"/>
    <cellStyle name="_87201247-EN-001-Project_Monitoring_Dashboard_File_dossierpilotage_dts_2012_10_19" xfId="73" xr:uid="{00000000-0005-0000-0000-000048000000}"/>
    <cellStyle name="_87201247-FR-001-Tableau_de_Bord_Pilotage_du_Projet" xfId="74" xr:uid="{00000000-0005-0000-0000-000049000000}"/>
    <cellStyle name="_87201247-FR-001-Tableau_de_Bord_Pilotage_du_Projet_83090147-DDQ-TAV-EN-001_OUTILS_PILOTAGE" xfId="75" xr:uid="{00000000-0005-0000-0000-00004A000000}"/>
    <cellStyle name="_87201247-FR-001-Tableau_de_Bord_Pilotage_du_Projet_83090147-DDQ-TAV-EN-001_OUTILS_PILOTAGE-1" xfId="76" xr:uid="{00000000-0005-0000-0000-00004B000000}"/>
    <cellStyle name="_87201247-FR-001-Tableau_de_Bord_Pilotage_du_Projet_dossierpilotage_dts_2012_10_19" xfId="77" xr:uid="{00000000-0005-0000-0000-00004C000000}"/>
    <cellStyle name="_8A - Finance FC" xfId="78" xr:uid="{00000000-0005-0000-0000-00004D000000}"/>
    <cellStyle name="_8A - Finance FC 2" xfId="79" xr:uid="{00000000-0005-0000-0000-00004E000000}"/>
    <cellStyle name="_8A - Finance FC_5-Charges MO" xfId="80" xr:uid="{00000000-0005-0000-0000-00004F000000}"/>
    <cellStyle name="_8A - Finance FC_83090147-DDQ-TAV-EN-001_OUTILS_PILOTAGE" xfId="81" xr:uid="{00000000-0005-0000-0000-000050000000}"/>
    <cellStyle name="_8A - Finance FC_83090147-DDQ-TAV-EN-001_OUTILS_PILOTAGE-1" xfId="82" xr:uid="{00000000-0005-0000-0000-000051000000}"/>
    <cellStyle name="_8A - Finance FC_dossierpilotage_dts_2012_10_19" xfId="83" xr:uid="{00000000-0005-0000-0000-000052000000}"/>
    <cellStyle name="_D3S_Program_dashboard_ B-1" xfId="84" xr:uid="{00000000-0005-0000-0000-000053000000}"/>
    <cellStyle name="_D3S_Program_dashboard_ B-1 2" xfId="85" xr:uid="{00000000-0005-0000-0000-000054000000}"/>
    <cellStyle name="_D3S_Program_dashboard_ B-1 2 2" xfId="86" xr:uid="{00000000-0005-0000-0000-000055000000}"/>
    <cellStyle name="_D3S_Program_dashboard_ B-1 3" xfId="87" xr:uid="{00000000-0005-0000-0000-000056000000}"/>
    <cellStyle name="_D3S_Program_dashboard_ B-1_1 - Fiche descriptive" xfId="88" xr:uid="{00000000-0005-0000-0000-000057000000}"/>
    <cellStyle name="_D3S_Program_dashboard_ B-1_5-Charges MO" xfId="89" xr:uid="{00000000-0005-0000-0000-000058000000}"/>
    <cellStyle name="_D3S_Program_dashboard_ B-1_7 - Recommandations AQ" xfId="90" xr:uid="{00000000-0005-0000-0000-000059000000}"/>
    <cellStyle name="_D3S_Program_dashboard_ B-1_Maquette_TDB_10-09-29-LV-V2" xfId="91" xr:uid="{00000000-0005-0000-0000-00005A000000}"/>
    <cellStyle name="_D3S_Program_dashboard_ B-1_Maquette_TDB_10-09-29-LV-V2 2" xfId="92" xr:uid="{00000000-0005-0000-0000-00005B000000}"/>
    <cellStyle name="_D3S_Program_dashboard_ B-1_Maquette_TDB_10-09-29-LV-V2 2 2" xfId="93" xr:uid="{00000000-0005-0000-0000-00005C000000}"/>
    <cellStyle name="_D3S_Program_dashboard_ B-1_Maquette_TDB_10-09-29-LV-V2 3" xfId="94" xr:uid="{00000000-0005-0000-0000-00005D000000}"/>
    <cellStyle name="_D3S_Program_dashboard_ B-1_Maquette_TDB_10-09-29-LV-V2_5-Charges MO" xfId="95" xr:uid="{00000000-0005-0000-0000-00005E000000}"/>
    <cellStyle name="_LINKS_CLEANUP_17" xfId="96" xr:uid="{00000000-0005-0000-0000-00005F000000}"/>
    <cellStyle name="_LV_DASHBOARD_V5.6.A.2_AUTO" xfId="97" xr:uid="{00000000-0005-0000-0000-000060000000}"/>
    <cellStyle name="_LV_DASHBOARD_V5.6.A.2_AUTO 2" xfId="98" xr:uid="{00000000-0005-0000-0000-000061000000}"/>
    <cellStyle name="_LV_DASHBOARD_V5.6.A.2_AUTO 3" xfId="99" xr:uid="{00000000-0005-0000-0000-000062000000}"/>
    <cellStyle name="_MAP-F-DAE-025-00-F_07 FR_draft A" xfId="100" xr:uid="{00000000-0005-0000-0000-000063000000}"/>
    <cellStyle name="_MAP-F-DAE-025-00-F_07 FR_draft A 2" xfId="101" xr:uid="{00000000-0005-0000-0000-000064000000}"/>
    <cellStyle name="_MAP-F-TSA-005-00-D" xfId="102" xr:uid="{00000000-0005-0000-0000-000065000000}"/>
    <cellStyle name="_Maquette_TDB_10-09-29-LV-V2" xfId="103" xr:uid="{00000000-0005-0000-0000-000066000000}"/>
    <cellStyle name="_Maquette_TDB_10-09-29-LV-V2 2" xfId="104" xr:uid="{00000000-0005-0000-0000-000067000000}"/>
    <cellStyle name="_Maquette_TDB_10-09-29-LV-V2 2 2" xfId="105" xr:uid="{00000000-0005-0000-0000-000068000000}"/>
    <cellStyle name="_Maquette_TDB_10-09-29-LV-V2 3" xfId="106" xr:uid="{00000000-0005-0000-0000-000069000000}"/>
    <cellStyle name="_Maquette_TDB_10-09-29-LV-V2_5-Charges MO" xfId="107" xr:uid="{00000000-0005-0000-0000-00006A000000}"/>
    <cellStyle name="_Maquette_TDB_PGM_20100729" xfId="108" xr:uid="{00000000-0005-0000-0000-00006B000000}"/>
    <cellStyle name="_Maquette_TDB_PGM_20100729 2" xfId="109" xr:uid="{00000000-0005-0000-0000-00006C000000}"/>
    <cellStyle name="_Maquette_TDB_PGM_20100729 2 2" xfId="110" xr:uid="{00000000-0005-0000-0000-00006D000000}"/>
    <cellStyle name="_Maquette_TDB_PGM_20100729 3" xfId="111" xr:uid="{00000000-0005-0000-0000-00006E000000}"/>
    <cellStyle name="_Maquette_TDB_PGM_20100729_1 - Fiche descriptive" xfId="112" xr:uid="{00000000-0005-0000-0000-00006F000000}"/>
    <cellStyle name="_Maquette_TDB_PGM_20100729_5-Charges MO" xfId="113" xr:uid="{00000000-0005-0000-0000-000070000000}"/>
    <cellStyle name="_Maquette_TDB_PGM_20100729_7 - Recommandations AQ" xfId="114" xr:uid="{00000000-0005-0000-0000-000071000000}"/>
    <cellStyle name="_Maquette_TDB_PGM_4-5-7_DAé-1" xfId="115" xr:uid="{00000000-0005-0000-0000-000072000000}"/>
    <cellStyle name="_Maquette_TDB_PGM_4-5-7_DAé-1 2" xfId="116" xr:uid="{00000000-0005-0000-0000-000073000000}"/>
    <cellStyle name="_Maquette_TDB_PGM_4-5-7_DAé-1 2 2" xfId="117" xr:uid="{00000000-0005-0000-0000-000074000000}"/>
    <cellStyle name="_Maquette_TDB_PGM_4-5-7_DAé-1 3" xfId="118" xr:uid="{00000000-0005-0000-0000-000075000000}"/>
    <cellStyle name="_Maquette_TDB_PGM_4-5-7_DAé-1_1 - Fiche descriptive" xfId="119" xr:uid="{00000000-0005-0000-0000-000076000000}"/>
    <cellStyle name="_Maquette_TDB_PGM_4-5-7_DAé-1_5-Charges MO" xfId="120" xr:uid="{00000000-0005-0000-0000-000077000000}"/>
    <cellStyle name="_Maquette_TDB_PGM_4-5-7_DAé-1_7 - Recommandations AQ" xfId="121" xr:uid="{00000000-0005-0000-0000-000078000000}"/>
    <cellStyle name="_Maquette_TDB_PGM_4-5-7_DAé-1_99-2 Baseline Status (ECRs) (2)" xfId="122" xr:uid="{00000000-0005-0000-0000-000079000000}"/>
    <cellStyle name="_Maquette_TDB_PGM_4-5-7_DAé-1_99-3 Formal IVV status (2)" xfId="123" xr:uid="{00000000-0005-0000-0000-00007A000000}"/>
    <cellStyle name="_Maquette_TDB_PGM_4-5-7_DAé-1_MAP-F-DAE-025-00-D" xfId="124" xr:uid="{00000000-0005-0000-0000-00007B000000}"/>
    <cellStyle name="_Maquette_TDB_PGM_4-5-7_DAé-1_MAP-F-DAE-025-00-D 2" xfId="125" xr:uid="{00000000-0005-0000-0000-00007C000000}"/>
    <cellStyle name="_Maquette_TDB_PGM_4-5-7_DAé-1_MAP-F-DAE-025-00-D 2 2" xfId="126" xr:uid="{00000000-0005-0000-0000-00007D000000}"/>
    <cellStyle name="_Maquette_TDB_PGM_4-5-7_DAé-1_MAP-F-DAE-025-00-D 3" xfId="127" xr:uid="{00000000-0005-0000-0000-00007E000000}"/>
    <cellStyle name="_Maquette_TDB_PGM_4-5-7_DAé-1_MAP-S76-AVS-2010-04.new-xls" xfId="128" xr:uid="{00000000-0005-0000-0000-00007F000000}"/>
    <cellStyle name="_Maquette_TDB_PGM_4-5-7_DAé-1_Nettoyage_fichier" xfId="129" xr:uid="{00000000-0005-0000-0000-000080000000}"/>
    <cellStyle name="_Maquette_TDB_PGM_4-5-7_DAé-1_Nettoyage_fichier 2" xfId="130" xr:uid="{00000000-0005-0000-0000-000081000000}"/>
    <cellStyle name="_Maquette_TDB_PGM_4-5-7_DAé-1_Nettoyage_fichier 2 2" xfId="131" xr:uid="{00000000-0005-0000-0000-000082000000}"/>
    <cellStyle name="_Maquette_TDB_PGM_4-5-7_DAé-1_Nettoyage_fichier 3" xfId="132" xr:uid="{00000000-0005-0000-0000-000083000000}"/>
    <cellStyle name="_Maquette_TDB_PGM_4-5-7_DAé-1_TdB 30_04_2010 TASFR00580937AJ-1 THTH" xfId="133" xr:uid="{00000000-0005-0000-0000-000084000000}"/>
    <cellStyle name="_Maquette_TDB_PGM_4-5-7_DAé-1_TdB-S76-CIS-2010-03 V38 Recup" xfId="134" xr:uid="{00000000-0005-0000-0000-000085000000}"/>
    <cellStyle name="_Maquette_TDB_PGM_4-5-7_WS June 10th-2" xfId="135" xr:uid="{00000000-0005-0000-0000-000086000000}"/>
    <cellStyle name="_Maquette_TDB_PGM_4-5-7_WS June 10th-2 2" xfId="136" xr:uid="{00000000-0005-0000-0000-000087000000}"/>
    <cellStyle name="_Maquette_TDB_PGM_4-5-7_WS June 10th-2 2 2" xfId="137" xr:uid="{00000000-0005-0000-0000-000088000000}"/>
    <cellStyle name="_Maquette_TDB_PGM_4-5-7_WS June 10th-2 3" xfId="138" xr:uid="{00000000-0005-0000-0000-000089000000}"/>
    <cellStyle name="_Maquette_TDB_PGM_4-5-7_WS June 10th-2_1 - Fiche descriptive" xfId="139" xr:uid="{00000000-0005-0000-0000-00008A000000}"/>
    <cellStyle name="_Maquette_TDB_PGM_4-5-7_WS June 10th-2_5-Charges MO" xfId="140" xr:uid="{00000000-0005-0000-0000-00008B000000}"/>
    <cellStyle name="_Maquette_TDB_PGM_4-5-7_WS June 10th-2_7 - Recommandations AQ" xfId="141" xr:uid="{00000000-0005-0000-0000-00008C000000}"/>
    <cellStyle name="_Maquette_TDB_PGM_4-5-7_WS June 9th-2" xfId="142" xr:uid="{00000000-0005-0000-0000-00008D000000}"/>
    <cellStyle name="_Maquette_TDB_PGM_4-5-7_WS June 9th-2 2" xfId="143" xr:uid="{00000000-0005-0000-0000-00008E000000}"/>
    <cellStyle name="_Maquette_TDB_PGM_4-5-7_WS June 9th-2 2 2" xfId="144" xr:uid="{00000000-0005-0000-0000-00008F000000}"/>
    <cellStyle name="_Maquette_TDB_PGM_4-5-7_WS June 9th-2 3" xfId="145" xr:uid="{00000000-0005-0000-0000-000090000000}"/>
    <cellStyle name="_Maquette_TDB_PGM_4-5-7_WS June 9th-2_1 - Fiche descriptive" xfId="146" xr:uid="{00000000-0005-0000-0000-000091000000}"/>
    <cellStyle name="_Maquette_TDB_PGM_4-5-7_WS June 9th-2_5-Charges MO" xfId="147" xr:uid="{00000000-0005-0000-0000-000092000000}"/>
    <cellStyle name="_Maquette_TDB_PGM_4-5-7_WS June 9th-2_7 - Recommandations AQ" xfId="148" xr:uid="{00000000-0005-0000-0000-000093000000}"/>
    <cellStyle name="_Maquette_TDB4" xfId="149" xr:uid="{00000000-0005-0000-0000-000094000000}"/>
    <cellStyle name="_Maquette_TDB4 2" xfId="150" xr:uid="{00000000-0005-0000-0000-000095000000}"/>
    <cellStyle name="_Maquette_TDB4 2 2" xfId="151" xr:uid="{00000000-0005-0000-0000-000096000000}"/>
    <cellStyle name="_Maquette_TDB4 3" xfId="152" xr:uid="{00000000-0005-0000-0000-000097000000}"/>
    <cellStyle name="_Maquette_TDB4_1 - Fiche descriptive" xfId="153" xr:uid="{00000000-0005-0000-0000-000098000000}"/>
    <cellStyle name="_Maquette_TDB4_5-Charges MO" xfId="154" xr:uid="{00000000-0005-0000-0000-000099000000}"/>
    <cellStyle name="_Maquette_TDB4_7 - Recommandations AQ" xfId="155" xr:uid="{00000000-0005-0000-0000-00009A000000}"/>
    <cellStyle name="_Maquette_TDB4_Maquette_TDB_10-09-29-LV-V2" xfId="156" xr:uid="{00000000-0005-0000-0000-00009B000000}"/>
    <cellStyle name="_Maquette_TDB4_Maquette_TDB_10-09-29-LV-V2 2" xfId="157" xr:uid="{00000000-0005-0000-0000-00009C000000}"/>
    <cellStyle name="_Maquette_TDB4_Maquette_TDB_10-09-29-LV-V2 2 2" xfId="158" xr:uid="{00000000-0005-0000-0000-00009D000000}"/>
    <cellStyle name="_Maquette_TDB4_Maquette_TDB_10-09-29-LV-V2 3" xfId="159" xr:uid="{00000000-0005-0000-0000-00009E000000}"/>
    <cellStyle name="_Maquette_TDB4_Maquette_TDB_10-09-29-LV-V2_5-Charges MO" xfId="160" xr:uid="{00000000-0005-0000-0000-00009F000000}"/>
    <cellStyle name="_Modèle reporting projet-87201044-MGPR-GRP-FR-" xfId="161" xr:uid="{00000000-0005-0000-0000-0000A0000000}"/>
    <cellStyle name="_Modèle reporting projet-87201044-MGPR-GRP-FR-_5-Charges MO" xfId="162" xr:uid="{00000000-0005-0000-0000-0000A1000000}"/>
    <cellStyle name="_Modèle reporting projet-87201044-MGPR-GRP-FR-_83090147-DDQ-TAV-EN-001_OUTILS_PILOTAGE" xfId="163" xr:uid="{00000000-0005-0000-0000-0000A2000000}"/>
    <cellStyle name="_Modèle reporting projet-87201044-MGPR-GRP-FR-_83090147-DDQ-TAV-EN-001_OUTILS_PILOTAGE-1" xfId="164" xr:uid="{00000000-0005-0000-0000-0000A3000000}"/>
    <cellStyle name="_Modèle reporting projet-87201044-MGPR-GRP-FR-_dossierpilotage_dts_2012_10_19" xfId="165" xr:uid="{00000000-0005-0000-0000-0000A4000000}"/>
    <cellStyle name="_Project Monitoring Dashboard File_02162011_V1a" xfId="166" xr:uid="{00000000-0005-0000-0000-0000A5000000}"/>
    <cellStyle name="_Project Monitoring Dashboard File_02162011_V1a_83090147-DDQ-TAV-EN-001_OUTILS_PILOTAGE" xfId="167" xr:uid="{00000000-0005-0000-0000-0000A6000000}"/>
    <cellStyle name="_Project Monitoring Dashboard File_02162011_V1a_83090147-DDQ-TAV-EN-001_OUTILS_PILOTAGE-1" xfId="168" xr:uid="{00000000-0005-0000-0000-0000A7000000}"/>
    <cellStyle name="_Project Monitoring Dashboard File_02162011_V1a_dossierpilotage_dts_2012_10_19" xfId="169" xr:uid="{00000000-0005-0000-0000-0000A8000000}"/>
    <cellStyle name="_Project Monitoring Dashboard File_20110210_V1" xfId="170" xr:uid="{00000000-0005-0000-0000-0000A9000000}"/>
    <cellStyle name="_Project Monitoring Dashboard File_20110210_V1_83090147-DDQ-TAV-EN-001_OUTILS_PILOTAGE" xfId="171" xr:uid="{00000000-0005-0000-0000-0000AA000000}"/>
    <cellStyle name="_Project Monitoring Dashboard File_20110210_V1_83090147-DDQ-TAV-EN-001_OUTILS_PILOTAGE-1" xfId="172" xr:uid="{00000000-0005-0000-0000-0000AB000000}"/>
    <cellStyle name="_Project Monitoring Dashboard File_20110210_V1_dossierpilotage_dts_2012_10_19" xfId="173" xr:uid="{00000000-0005-0000-0000-0000AC000000}"/>
    <cellStyle name="_Project reporting template-87201044-MGPR-GRP-EN-" xfId="174" xr:uid="{00000000-0005-0000-0000-0000AD000000}"/>
    <cellStyle name="_Project reporting template-87201044-MGPR-GRP-EN- 2" xfId="175" xr:uid="{00000000-0005-0000-0000-0000AE000000}"/>
    <cellStyle name="_Project reporting template-87201044-MGPR-GRP-EN- 2 2" xfId="176" xr:uid="{00000000-0005-0000-0000-0000AF000000}"/>
    <cellStyle name="_Project reporting template-87201044-MGPR-GRP-EN- 3" xfId="177" xr:uid="{00000000-0005-0000-0000-0000B0000000}"/>
    <cellStyle name="_Project reporting template-87201044-MGPR-GRP-EN-_5-Charges MO" xfId="178" xr:uid="{00000000-0005-0000-0000-0000B1000000}"/>
    <cellStyle name="_Solution_Monitoring_Dashboard_File" xfId="179" xr:uid="{00000000-0005-0000-0000-0000B2000000}"/>
    <cellStyle name="_Solution_Monitoring_Dashboard_File_83090147-DDQ-TAV-EN-001_OUTILS_PILOTAGE" xfId="180" xr:uid="{00000000-0005-0000-0000-0000B3000000}"/>
    <cellStyle name="_Solution_Monitoring_Dashboard_File_83090147-DDQ-TAV-EN-001_OUTILS_PILOTAGE-1" xfId="181" xr:uid="{00000000-0005-0000-0000-0000B4000000}"/>
    <cellStyle name="_Solution_Monitoring_Dashboard_File_dossierpilotage_dts_2012_10_19" xfId="182" xr:uid="{00000000-0005-0000-0000-0000B5000000}"/>
    <cellStyle name="_Solution_Monitoring_Tools_File_V2" xfId="183" xr:uid="{00000000-0005-0000-0000-0000B6000000}"/>
    <cellStyle name="_Solution_Monitoring_Tools_File_V2_83090147-DDQ-TAV-EN-001_OUTILS_PILOTAGE" xfId="184" xr:uid="{00000000-0005-0000-0000-0000B7000000}"/>
    <cellStyle name="_Solution_Monitoring_Tools_File_V2_83090147-DDQ-TAV-EN-001_OUTILS_PILOTAGE-1" xfId="185" xr:uid="{00000000-0005-0000-0000-0000B8000000}"/>
    <cellStyle name="_Solution_Monitoring_Tools_File_V2_dossierpilotage_dts_2012_10_19" xfId="186" xr:uid="{00000000-0005-0000-0000-0000B9000000}"/>
    <cellStyle name="12Under" xfId="187" xr:uid="{00000000-0005-0000-0000-0000BA000000}"/>
    <cellStyle name="20 % - Akzent1" xfId="188" builtinId="30" customBuiltin="1"/>
    <cellStyle name="20 % - Akzent2" xfId="190" builtinId="34" customBuiltin="1"/>
    <cellStyle name="20 % - Akzent3" xfId="192" builtinId="38" customBuiltin="1"/>
    <cellStyle name="20 % - Akzent4" xfId="194" builtinId="42" customBuiltin="1"/>
    <cellStyle name="20 % - Akzent5" xfId="196" builtinId="46" customBuiltin="1"/>
    <cellStyle name="20 % - Akzent6" xfId="198" builtinId="50" customBuiltin="1"/>
    <cellStyle name="20 % - Accent1 2" xfId="189" xr:uid="{00000000-0005-0000-0000-0000BC000000}"/>
    <cellStyle name="20 % - Accent2 2" xfId="191" xr:uid="{00000000-0005-0000-0000-0000BE000000}"/>
    <cellStyle name="20 % - Accent3 2" xfId="193" xr:uid="{00000000-0005-0000-0000-0000C0000000}"/>
    <cellStyle name="20 % - Accent4 2" xfId="195" xr:uid="{00000000-0005-0000-0000-0000C2000000}"/>
    <cellStyle name="20 % - Accent5 2" xfId="197" xr:uid="{00000000-0005-0000-0000-0000C4000000}"/>
    <cellStyle name="20 % - Accent6 2" xfId="199" xr:uid="{00000000-0005-0000-0000-0000C6000000}"/>
    <cellStyle name="20% - Accent1" xfId="200" xr:uid="{00000000-0005-0000-0000-0000C7000000}"/>
    <cellStyle name="20% - Accent2" xfId="201" xr:uid="{00000000-0005-0000-0000-0000C8000000}"/>
    <cellStyle name="20% - Accent3" xfId="202" xr:uid="{00000000-0005-0000-0000-0000C9000000}"/>
    <cellStyle name="20% - Accent4" xfId="203" xr:uid="{00000000-0005-0000-0000-0000CA000000}"/>
    <cellStyle name="20% - Accent5" xfId="204" xr:uid="{00000000-0005-0000-0000-0000CB000000}"/>
    <cellStyle name="20% - Accent6" xfId="205" xr:uid="{00000000-0005-0000-0000-0000CC000000}"/>
    <cellStyle name="40 % - Akzent1" xfId="206" builtinId="31" customBuiltin="1"/>
    <cellStyle name="40 % - Akzent2" xfId="208" builtinId="35" customBuiltin="1"/>
    <cellStyle name="40 % - Akzent3" xfId="210" builtinId="39" customBuiltin="1"/>
    <cellStyle name="40 % - Akzent4" xfId="212" builtinId="43" customBuiltin="1"/>
    <cellStyle name="40 % - Akzent5" xfId="214" builtinId="47" customBuiltin="1"/>
    <cellStyle name="40 % - Akzent6" xfId="216" builtinId="51" customBuiltin="1"/>
    <cellStyle name="40 % - Accent1 2" xfId="207" xr:uid="{00000000-0005-0000-0000-0000CE000000}"/>
    <cellStyle name="40 % - Accent2 2" xfId="209" xr:uid="{00000000-0005-0000-0000-0000D0000000}"/>
    <cellStyle name="40 % - Accent3 2" xfId="211" xr:uid="{00000000-0005-0000-0000-0000D2000000}"/>
    <cellStyle name="40 % - Accent4 2" xfId="213" xr:uid="{00000000-0005-0000-0000-0000D4000000}"/>
    <cellStyle name="40 % - Accent5 2" xfId="215" xr:uid="{00000000-0005-0000-0000-0000D6000000}"/>
    <cellStyle name="40 % - Accent6 2" xfId="217" xr:uid="{00000000-0005-0000-0000-0000D8000000}"/>
    <cellStyle name="40% - Accent1" xfId="218" xr:uid="{00000000-0005-0000-0000-0000D9000000}"/>
    <cellStyle name="40% - Accent2" xfId="219" xr:uid="{00000000-0005-0000-0000-0000DA000000}"/>
    <cellStyle name="40% - Accent3" xfId="220" xr:uid="{00000000-0005-0000-0000-0000DB000000}"/>
    <cellStyle name="40% - Accent4" xfId="221" xr:uid="{00000000-0005-0000-0000-0000DC000000}"/>
    <cellStyle name="40% - Accent5" xfId="222" xr:uid="{00000000-0005-0000-0000-0000DD000000}"/>
    <cellStyle name="40% - Accent6" xfId="223" xr:uid="{00000000-0005-0000-0000-0000DE000000}"/>
    <cellStyle name="60 % - Akzent1" xfId="224" builtinId="32" customBuiltin="1"/>
    <cellStyle name="60 % - Akzent2" xfId="226" builtinId="36" customBuiltin="1"/>
    <cellStyle name="60 % - Akzent3" xfId="228" builtinId="40" customBuiltin="1"/>
    <cellStyle name="60 % - Akzent4" xfId="230" builtinId="44" customBuiltin="1"/>
    <cellStyle name="60 % - Akzent5" xfId="232" builtinId="48" customBuiltin="1"/>
    <cellStyle name="60 % - Akzent6" xfId="234" builtinId="52" customBuiltin="1"/>
    <cellStyle name="60 % - Accent1 2" xfId="225" xr:uid="{00000000-0005-0000-0000-0000E0000000}"/>
    <cellStyle name="60 % - Accent2 2" xfId="227" xr:uid="{00000000-0005-0000-0000-0000E2000000}"/>
    <cellStyle name="60 % - Accent3 2" xfId="229" xr:uid="{00000000-0005-0000-0000-0000E4000000}"/>
    <cellStyle name="60 % - Accent4 2" xfId="231" xr:uid="{00000000-0005-0000-0000-0000E6000000}"/>
    <cellStyle name="60 % - Accent5 2" xfId="233" xr:uid="{00000000-0005-0000-0000-0000E8000000}"/>
    <cellStyle name="60 % - Accent6 2" xfId="235" xr:uid="{00000000-0005-0000-0000-0000EA000000}"/>
    <cellStyle name="60% - Accent1" xfId="236" xr:uid="{00000000-0005-0000-0000-0000EB000000}"/>
    <cellStyle name="60% - Accent2" xfId="237" xr:uid="{00000000-0005-0000-0000-0000EC000000}"/>
    <cellStyle name="60% - Accent3" xfId="238" xr:uid="{00000000-0005-0000-0000-0000ED000000}"/>
    <cellStyle name="60% - Accent4" xfId="239" xr:uid="{00000000-0005-0000-0000-0000EE000000}"/>
    <cellStyle name="60% - Accent5" xfId="240" xr:uid="{00000000-0005-0000-0000-0000EF000000}"/>
    <cellStyle name="60% - Accent6" xfId="241" xr:uid="{00000000-0005-0000-0000-0000F0000000}"/>
    <cellStyle name="Accent1 2" xfId="243" xr:uid="{00000000-0005-0000-0000-0000F2000000}"/>
    <cellStyle name="Accent2 2" xfId="245" xr:uid="{00000000-0005-0000-0000-0000F4000000}"/>
    <cellStyle name="Accent3 2" xfId="247" xr:uid="{00000000-0005-0000-0000-0000F6000000}"/>
    <cellStyle name="Accent4 2" xfId="249" xr:uid="{00000000-0005-0000-0000-0000F8000000}"/>
    <cellStyle name="Accent5 2" xfId="251" xr:uid="{00000000-0005-0000-0000-0000FA000000}"/>
    <cellStyle name="Accent6 2" xfId="253" xr:uid="{00000000-0005-0000-0000-0000FC000000}"/>
    <cellStyle name="Akzent1" xfId="242" builtinId="29" customBuiltin="1"/>
    <cellStyle name="Akzent2" xfId="244" builtinId="33" customBuiltin="1"/>
    <cellStyle name="Akzent3" xfId="246" builtinId="37" customBuiltin="1"/>
    <cellStyle name="Akzent4" xfId="248" builtinId="41" customBuiltin="1"/>
    <cellStyle name="Akzent5" xfId="250" builtinId="45" customBuiltin="1"/>
    <cellStyle name="Akzent6" xfId="252" builtinId="49" customBuiltin="1"/>
    <cellStyle name="Ausgabe" xfId="1148" builtinId="21" customBuiltin="1"/>
    <cellStyle name="Bad" xfId="255" xr:uid="{00000000-0005-0000-0000-0000FE000000}"/>
    <cellStyle name="Berechnung" xfId="264" builtinId="22" customBuiltin="1"/>
    <cellStyle name="Bord: quadrillage" xfId="256" xr:uid="{00000000-0005-0000-0000-0000FF000000}"/>
    <cellStyle name="Bord: quadrillage gras" xfId="257" xr:uid="{00000000-0005-0000-0000-000000010000}"/>
    <cellStyle name="Bord: rien" xfId="258" xr:uid="{00000000-0005-0000-0000-000001010000}"/>
    <cellStyle name="branche" xfId="259" xr:uid="{00000000-0005-0000-0000-000002010000}"/>
    <cellStyle name="branche 2" xfId="260" xr:uid="{00000000-0005-0000-0000-000003010000}"/>
    <cellStyle name="branche 2 2" xfId="261" xr:uid="{00000000-0005-0000-0000-000004010000}"/>
    <cellStyle name="branche_1 - Fiche descriptive" xfId="262" xr:uid="{00000000-0005-0000-0000-000005010000}"/>
    <cellStyle name="Caché" xfId="263" xr:uid="{00000000-0005-0000-0000-000006010000}"/>
    <cellStyle name="Calcul 2" xfId="265" xr:uid="{00000000-0005-0000-0000-000008010000}"/>
    <cellStyle name="Calculation" xfId="266" xr:uid="{00000000-0005-0000-0000-000009010000}"/>
    <cellStyle name="CARTOUCHE_THOM" xfId="267" xr:uid="{00000000-0005-0000-0000-00000A010000}"/>
    <cellStyle name="Check Cell" xfId="269" xr:uid="{00000000-0005-0000-0000-00000C010000}"/>
    <cellStyle name="Comma [0]" xfId="270" xr:uid="{00000000-0005-0000-0000-00000D010000}"/>
    <cellStyle name="Comma [0] 2" xfId="271" xr:uid="{00000000-0005-0000-0000-00000E010000}"/>
    <cellStyle name="Comma [0] 2 2" xfId="272" xr:uid="{00000000-0005-0000-0000-00000F010000}"/>
    <cellStyle name="Comma [0] 3" xfId="273" xr:uid="{00000000-0005-0000-0000-000010010000}"/>
    <cellStyle name="Comma [0] 3 2" xfId="274" xr:uid="{00000000-0005-0000-0000-000011010000}"/>
    <cellStyle name="Comma [0] 4" xfId="275" xr:uid="{00000000-0005-0000-0000-000012010000}"/>
    <cellStyle name="Comma [0] 4 2" xfId="276" xr:uid="{00000000-0005-0000-0000-000013010000}"/>
    <cellStyle name="Comma [0] 5" xfId="277" xr:uid="{00000000-0005-0000-0000-000014010000}"/>
    <cellStyle name="Comma_2.2 RBA Milestones Trends" xfId="278" xr:uid="{00000000-0005-0000-0000-000015010000}"/>
    <cellStyle name="Commentaire 2" xfId="280" xr:uid="{00000000-0005-0000-0000-000017010000}"/>
    <cellStyle name="Commentaire 3" xfId="281" xr:uid="{00000000-0005-0000-0000-000018010000}"/>
    <cellStyle name="Commentaire 3 2" xfId="282" xr:uid="{00000000-0005-0000-0000-000019010000}"/>
    <cellStyle name="Commentaire 4" xfId="283" xr:uid="{00000000-0005-0000-0000-00001A010000}"/>
    <cellStyle name="Commentaire 4 2" xfId="284" xr:uid="{00000000-0005-0000-0000-00001B010000}"/>
    <cellStyle name="Commentaire 5" xfId="285" xr:uid="{00000000-0005-0000-0000-00001C010000}"/>
    <cellStyle name="Coût" xfId="286" xr:uid="{00000000-0005-0000-0000-00001D010000}"/>
    <cellStyle name="Coût 2" xfId="287" xr:uid="{00000000-0005-0000-0000-00001E010000}"/>
    <cellStyle name="Coût 2 2" xfId="288" xr:uid="{00000000-0005-0000-0000-00001F010000}"/>
    <cellStyle name="Coût 3" xfId="289" xr:uid="{00000000-0005-0000-0000-000020010000}"/>
    <cellStyle name="Coût 3 2" xfId="290" xr:uid="{00000000-0005-0000-0000-000021010000}"/>
    <cellStyle name="Coût 4" xfId="291" xr:uid="{00000000-0005-0000-0000-000022010000}"/>
    <cellStyle name="Currency [0]" xfId="292" xr:uid="{00000000-0005-0000-0000-000023010000}"/>
    <cellStyle name="Currency [0] 2" xfId="293" xr:uid="{00000000-0005-0000-0000-000024010000}"/>
    <cellStyle name="Currency [0] 2 2" xfId="294" xr:uid="{00000000-0005-0000-0000-000025010000}"/>
    <cellStyle name="Currency [0] 3" xfId="295" xr:uid="{00000000-0005-0000-0000-000026010000}"/>
    <cellStyle name="Currency [0] 3 2" xfId="296" xr:uid="{00000000-0005-0000-0000-000027010000}"/>
    <cellStyle name="Currency [0] 4" xfId="297" xr:uid="{00000000-0005-0000-0000-000028010000}"/>
    <cellStyle name="Currency [0] 4 2" xfId="298" xr:uid="{00000000-0005-0000-0000-000029010000}"/>
    <cellStyle name="Currency [0] 5" xfId="299" xr:uid="{00000000-0005-0000-0000-00002A010000}"/>
    <cellStyle name="Currency_2.2 RBA Milestones Trends" xfId="300" xr:uid="{00000000-0005-0000-0000-00002B010000}"/>
    <cellStyle name="Date" xfId="301" xr:uid="{00000000-0005-0000-0000-00002C010000}"/>
    <cellStyle name="Date 2" xfId="302" xr:uid="{00000000-0005-0000-0000-00002D010000}"/>
    <cellStyle name="Date 2 2" xfId="303" xr:uid="{00000000-0005-0000-0000-00002E010000}"/>
    <cellStyle name="Date 3" xfId="304" xr:uid="{00000000-0005-0000-0000-00002F010000}"/>
    <cellStyle name="Date anglaise" xfId="305" xr:uid="{00000000-0005-0000-0000-000030010000}"/>
    <cellStyle name="Date anglaise 2" xfId="306" xr:uid="{00000000-0005-0000-0000-000031010000}"/>
    <cellStyle name="Date anglaise 2 2" xfId="307" xr:uid="{00000000-0005-0000-0000-000032010000}"/>
    <cellStyle name="Date anglaise 3" xfId="308" xr:uid="{00000000-0005-0000-0000-000033010000}"/>
    <cellStyle name="Date anglaise 3 2" xfId="309" xr:uid="{00000000-0005-0000-0000-000034010000}"/>
    <cellStyle name="Date anglaise 4" xfId="310" xr:uid="{00000000-0005-0000-0000-000035010000}"/>
    <cellStyle name="Date mois" xfId="311" xr:uid="{00000000-0005-0000-0000-000036010000}"/>
    <cellStyle name="Date mois 2" xfId="312" xr:uid="{00000000-0005-0000-0000-000037010000}"/>
    <cellStyle name="Date mois 2 2" xfId="313" xr:uid="{00000000-0005-0000-0000-000038010000}"/>
    <cellStyle name="Date mois 3" xfId="314" xr:uid="{00000000-0005-0000-0000-000039010000}"/>
    <cellStyle name="Date mois 3 2" xfId="315" xr:uid="{00000000-0005-0000-0000-00003A010000}"/>
    <cellStyle name="Date mois 4" xfId="316" xr:uid="{00000000-0005-0000-0000-00003B010000}"/>
    <cellStyle name="Date saisie" xfId="317" xr:uid="{00000000-0005-0000-0000-00003C010000}"/>
    <cellStyle name="Date saisie 2" xfId="318" xr:uid="{00000000-0005-0000-0000-00003D010000}"/>
    <cellStyle name="Date saisie 2 2" xfId="319" xr:uid="{00000000-0005-0000-0000-00003E010000}"/>
    <cellStyle name="Date saisie 2 3" xfId="320" xr:uid="{00000000-0005-0000-0000-00003F010000}"/>
    <cellStyle name="Date saisie 3" xfId="321" xr:uid="{00000000-0005-0000-0000-000040010000}"/>
    <cellStyle name="Date saisie 3 2" xfId="322" xr:uid="{00000000-0005-0000-0000-000041010000}"/>
    <cellStyle name="Date saisie 4" xfId="323" xr:uid="{00000000-0005-0000-0000-000042010000}"/>
    <cellStyle name="Date saisie_5-Charges MO" xfId="324" xr:uid="{00000000-0005-0000-0000-000043010000}"/>
    <cellStyle name="date titre" xfId="325" xr:uid="{00000000-0005-0000-0000-000044010000}"/>
    <cellStyle name="Date_09.10.2007 Plan Quote Analysis" xfId="326" xr:uid="{00000000-0005-0000-0000-000045010000}"/>
    <cellStyle name="dateCEP" xfId="327" xr:uid="{00000000-0005-0000-0000-000046010000}"/>
    <cellStyle name="dateCEP 2" xfId="328" xr:uid="{00000000-0005-0000-0000-000047010000}"/>
    <cellStyle name="dateCEP 2 2" xfId="329" xr:uid="{00000000-0005-0000-0000-000048010000}"/>
    <cellStyle name="dateCEP 3" xfId="330" xr:uid="{00000000-0005-0000-0000-000049010000}"/>
    <cellStyle name="dateCEP_1 - Fiche descriptive" xfId="331" xr:uid="{00000000-0005-0000-0000-00004A010000}"/>
    <cellStyle name="DCh" xfId="332" xr:uid="{00000000-0005-0000-0000-00004B010000}"/>
    <cellStyle name="Déf_kLoc" xfId="333" xr:uid="{00000000-0005-0000-0000-00004C010000}"/>
    <cellStyle name="Desc" xfId="334" xr:uid="{00000000-0005-0000-0000-00004D010000}"/>
    <cellStyle name="Desc 2" xfId="335" xr:uid="{00000000-0005-0000-0000-00004E010000}"/>
    <cellStyle name="Desc 2 2" xfId="336" xr:uid="{00000000-0005-0000-0000-00004F010000}"/>
    <cellStyle name="Desc 3" xfId="337" xr:uid="{00000000-0005-0000-0000-000050010000}"/>
    <cellStyle name="Desc_1 - Fiche descriptive" xfId="338" xr:uid="{00000000-0005-0000-0000-000051010000}"/>
    <cellStyle name="Dollar" xfId="339" xr:uid="{00000000-0005-0000-0000-000053010000}"/>
    <cellStyle name="Dollar 2" xfId="340" xr:uid="{00000000-0005-0000-0000-000054010000}"/>
    <cellStyle name="Dollar 2 2" xfId="341" xr:uid="{00000000-0005-0000-0000-000055010000}"/>
    <cellStyle name="Dollar 3" xfId="342" xr:uid="{00000000-0005-0000-0000-000056010000}"/>
    <cellStyle name="Dollar_1 - Fiche descriptive" xfId="343" xr:uid="{00000000-0005-0000-0000-000057010000}"/>
    <cellStyle name="Donnée" xfId="344" xr:uid="{00000000-0005-0000-0000-000058010000}"/>
    <cellStyle name="Donnée 2" xfId="345" xr:uid="{00000000-0005-0000-0000-000059010000}"/>
    <cellStyle name="Donnée 3" xfId="346" xr:uid="{00000000-0005-0000-0000-00005A010000}"/>
    <cellStyle name="Donnée 3 2" xfId="347" xr:uid="{00000000-0005-0000-0000-00005B010000}"/>
    <cellStyle name="Donnée 4" xfId="348" xr:uid="{00000000-0005-0000-0000-00005C010000}"/>
    <cellStyle name="Donnée 5" xfId="349" xr:uid="{00000000-0005-0000-0000-00005D010000}"/>
    <cellStyle name="Donnée_1 - Fiche descriptive" xfId="350" xr:uid="{00000000-0005-0000-0000-00005E010000}"/>
    <cellStyle name="Eingabe" xfId="351" builtinId="20" customBuiltin="1"/>
    <cellStyle name="Entrée 2" xfId="352" xr:uid="{00000000-0005-0000-0000-000060010000}"/>
    <cellStyle name="Ergebnis" xfId="1186" builtinId="25" customBuiltin="1"/>
    <cellStyle name="Erklärender Text" xfId="1169" builtinId="53" customBuiltin="1"/>
    <cellStyle name="Euro" xfId="353" xr:uid="{00000000-0005-0000-0000-000061010000}"/>
    <cellStyle name="Euro 2" xfId="354" xr:uid="{00000000-0005-0000-0000-000062010000}"/>
    <cellStyle name="Euro 2 2" xfId="355" xr:uid="{00000000-0005-0000-0000-000063010000}"/>
    <cellStyle name="Euro 3" xfId="356" xr:uid="{00000000-0005-0000-0000-000064010000}"/>
    <cellStyle name="Euro 3 2" xfId="357" xr:uid="{00000000-0005-0000-0000-000065010000}"/>
    <cellStyle name="Euro 3 3" xfId="358" xr:uid="{00000000-0005-0000-0000-000066010000}"/>
    <cellStyle name="Euro 4" xfId="359" xr:uid="{00000000-0005-0000-0000-000067010000}"/>
    <cellStyle name="Euro 4 2" xfId="360" xr:uid="{00000000-0005-0000-0000-000068010000}"/>
    <cellStyle name="Euro 5" xfId="361" xr:uid="{00000000-0005-0000-0000-000069010000}"/>
    <cellStyle name="Explanatory Text" xfId="362" xr:uid="{00000000-0005-0000-0000-00006A010000}"/>
    <cellStyle name="Fixé" xfId="363" xr:uid="{00000000-0005-0000-0000-00006B010000}"/>
    <cellStyle name="Fixé 2" xfId="364" xr:uid="{00000000-0005-0000-0000-00006C010000}"/>
    <cellStyle name="Fixé 2 2" xfId="365" xr:uid="{00000000-0005-0000-0000-00006D010000}"/>
    <cellStyle name="Fixé 3" xfId="366" xr:uid="{00000000-0005-0000-0000-00006E010000}"/>
    <cellStyle name="Fixé 3 2" xfId="367" xr:uid="{00000000-0005-0000-0000-00006F010000}"/>
    <cellStyle name="Fixé 4" xfId="368" xr:uid="{00000000-0005-0000-0000-000070010000}"/>
    <cellStyle name="Followed Hyperlink" xfId="369" xr:uid="{00000000-0005-0000-0000-000071010000}"/>
    <cellStyle name="Followed Hyperlink 2" xfId="370" xr:uid="{00000000-0005-0000-0000-000072010000}"/>
    <cellStyle name="Followed Hyperlink 2 2" xfId="371" xr:uid="{00000000-0005-0000-0000-000073010000}"/>
    <cellStyle name="Followed Hyperlink_1 - Fiche descriptive" xfId="372" xr:uid="{00000000-0005-0000-0000-000074010000}"/>
    <cellStyle name="Good" xfId="373" xr:uid="{00000000-0005-0000-0000-000075010000}"/>
    <cellStyle name="gud" xfId="374" xr:uid="{00000000-0005-0000-0000-000076010000}"/>
    <cellStyle name="gud 2" xfId="375" xr:uid="{00000000-0005-0000-0000-000077010000}"/>
    <cellStyle name="gud 2 2" xfId="376" xr:uid="{00000000-0005-0000-0000-000078010000}"/>
    <cellStyle name="gud_1 - Fiche descriptive" xfId="377" xr:uid="{00000000-0005-0000-0000-000079010000}"/>
    <cellStyle name="Gut" xfId="1146" builtinId="26" customBuiltin="1"/>
    <cellStyle name="H_Déf" xfId="378" xr:uid="{00000000-0005-0000-0000-00007A010000}"/>
    <cellStyle name="H_Déf_0.1 Fiche descriptive" xfId="379" xr:uid="{00000000-0005-0000-0000-00007B010000}"/>
    <cellStyle name="H_Déf_0.1 Fiche descriptive 2" xfId="380" xr:uid="{00000000-0005-0000-0000-00007C010000}"/>
    <cellStyle name="H_Déf_0.1 Fiche descriptive 2 2" xfId="381" xr:uid="{00000000-0005-0000-0000-00007D010000}"/>
    <cellStyle name="H_Déf_0.1 Fiche descriptive_1 - Fiche descriptive" xfId="382" xr:uid="{00000000-0005-0000-0000-00007E010000}"/>
    <cellStyle name="H_Déf_0.1 Fiche descriptive_5-Charges MO" xfId="383" xr:uid="{00000000-0005-0000-0000-00007F010000}"/>
    <cellStyle name="H_Déf_0.1 Fiche descriptive_7 - Recommandations AQ" xfId="384" xr:uid="{00000000-0005-0000-0000-000080010000}"/>
    <cellStyle name="H_Déf_0.1 Fiche descriptive_906-1TdB AffaireS76-NAV_06_003458-17 (en cours)-1" xfId="385" xr:uid="{00000000-0005-0000-0000-000081010000}"/>
    <cellStyle name="H_Déf_0.1 Fiche descriptive_99-2 Baseline Status (ECRs) (2)" xfId="386" xr:uid="{00000000-0005-0000-0000-000082010000}"/>
    <cellStyle name="H_Déf_0.1 Fiche descriptive_99-3 Formal IVV status (2)" xfId="387" xr:uid="{00000000-0005-0000-0000-000083010000}"/>
    <cellStyle name="H_Déf_0.1 Fiche descriptive_MAP-F-DAE-025-00-D" xfId="388" xr:uid="{00000000-0005-0000-0000-000084010000}"/>
    <cellStyle name="H_Déf_0.1 Fiche descriptive_MAP-F-DAE-025-00-D 2" xfId="389" xr:uid="{00000000-0005-0000-0000-000085010000}"/>
    <cellStyle name="H_Déf_0.1 Fiche descriptive_MAP-F-DAE-025-00-D 2 2" xfId="390" xr:uid="{00000000-0005-0000-0000-000086010000}"/>
    <cellStyle name="H_Déf_0.1 Fiche descriptive_MAP-S76-AVS-2010-04.new-xls" xfId="391" xr:uid="{00000000-0005-0000-0000-000087010000}"/>
    <cellStyle name="H_Déf_0.1 Fiche descriptive_Nettoyage_fichier" xfId="392" xr:uid="{00000000-0005-0000-0000-000088010000}"/>
    <cellStyle name="H_Déf_0.1 Fiche descriptive_Nettoyage_fichier 2" xfId="393" xr:uid="{00000000-0005-0000-0000-000089010000}"/>
    <cellStyle name="H_Déf_0.1 Fiche descriptive_Nettoyage_fichier 2 2" xfId="394" xr:uid="{00000000-0005-0000-0000-00008A010000}"/>
    <cellStyle name="H_Déf_0.1 Fiche descriptive_TdB 30_04_2010 TASFR00580937AJ-1 THTH" xfId="395" xr:uid="{00000000-0005-0000-0000-00008B010000}"/>
    <cellStyle name="H_Déf_0.1 Fiche descriptive_TdB 30_04_2010 TASFR00580937AJ-1 THTH 2" xfId="396" xr:uid="{00000000-0005-0000-0000-00008C010000}"/>
    <cellStyle name="H_Déf_0.1 Fiche descriptive_tdb MAP CAM ATR42 NAV 08-00531-03" xfId="397" xr:uid="{00000000-0005-0000-0000-00008D010000}"/>
    <cellStyle name="H_Déf_0.1 Fiche descriptive_TdB-S76-CIS-2010-03 V38 Recup" xfId="398" xr:uid="{00000000-0005-0000-0000-00008E010000}"/>
    <cellStyle name="H_Déf_0.2 Organisation" xfId="399" xr:uid="{00000000-0005-0000-0000-00008F010000}"/>
    <cellStyle name="H_Déf_0.2 Organisation 2" xfId="400" xr:uid="{00000000-0005-0000-0000-000090010000}"/>
    <cellStyle name="H_Déf_0.2 Organisation_1 - Fiche descriptive" xfId="401" xr:uid="{00000000-0005-0000-0000-000091010000}"/>
    <cellStyle name="H_Déf_0.2 Organisation_5-Charges MO" xfId="402" xr:uid="{00000000-0005-0000-0000-000092010000}"/>
    <cellStyle name="H_Déf_0.2 Organisation_7 - Recommandations AQ" xfId="403" xr:uid="{00000000-0005-0000-0000-000093010000}"/>
    <cellStyle name="H_Déf_0.2 Organisation_99-2 Baseline Status (ECRs) (2)" xfId="404" xr:uid="{00000000-0005-0000-0000-000094010000}"/>
    <cellStyle name="H_Déf_0.2 Organisation_99-3 Formal IVV status (2)" xfId="405" xr:uid="{00000000-0005-0000-0000-000095010000}"/>
    <cellStyle name="H_Déf_0.2 Organisation_MAP-F-DAE-025-00-D" xfId="406" xr:uid="{00000000-0005-0000-0000-000096010000}"/>
    <cellStyle name="H_Déf_0.2 Organisation_MAP-F-DAE-025-00-D 2" xfId="407" xr:uid="{00000000-0005-0000-0000-000097010000}"/>
    <cellStyle name="H_Déf_0.2 Organisation_MAP-S76-AVS-2010-04.new-xls" xfId="408" xr:uid="{00000000-0005-0000-0000-000098010000}"/>
    <cellStyle name="H_Déf_0.2 Organisation_Nettoyage_fichier" xfId="409" xr:uid="{00000000-0005-0000-0000-000099010000}"/>
    <cellStyle name="H_Déf_0.2 Organisation_Nettoyage_fichier 2" xfId="410" xr:uid="{00000000-0005-0000-0000-00009A010000}"/>
    <cellStyle name="H_Déf_0.2 Organisation_TdB 30_04_2010 TASFR00580937AJ-1 THTH" xfId="411" xr:uid="{00000000-0005-0000-0000-00009B010000}"/>
    <cellStyle name="H_Déf_0.2 Organisation_tdb MAP CAM ATR42 NAV 08-00531-03" xfId="412" xr:uid="{00000000-0005-0000-0000-00009C010000}"/>
    <cellStyle name="H_Déf_0.2 Organisation_TdB-S76-CIS-2010-03 V38 Recup" xfId="413" xr:uid="{00000000-0005-0000-0000-00009D010000}"/>
    <cellStyle name="H_Déf_05 juin TDB" xfId="414" xr:uid="{00000000-0005-0000-0000-00009E010000}"/>
    <cellStyle name="H_Déf_05 juin TDB IR 00" xfId="415" xr:uid="{00000000-0005-0000-0000-00009F010000}"/>
    <cellStyle name="H_Déf_05 juin TDB IR 00_ATA_08_4098_DIS-TdB_MAS FSTA _sept_11_ind00" xfId="416" xr:uid="{00000000-0005-0000-0000-0000A0010000}"/>
    <cellStyle name="H_Déf_05 juin TDB_ATA_08_4098_DIS-TdB_MAS FSTA _sept_11_ind00" xfId="417" xr:uid="{00000000-0005-0000-0000-0000A1010000}"/>
    <cellStyle name="H_Déf_1.1 Faits Marquants" xfId="418" xr:uid="{00000000-0005-0000-0000-0000A2010000}"/>
    <cellStyle name="H_Déf_1.1 Faits Marquants 2" xfId="419" xr:uid="{00000000-0005-0000-0000-0000A3010000}"/>
    <cellStyle name="H_Déf_1.1 Faits Marquants_1" xfId="420" xr:uid="{00000000-0005-0000-0000-0000A4010000}"/>
    <cellStyle name="H_Déf_1.1 Faits Marquants_1 - Fiche descriptive" xfId="421" xr:uid="{00000000-0005-0000-0000-0000A5010000}"/>
    <cellStyle name="H_Déf_1.1 Faits Marquants_1 2" xfId="422" xr:uid="{00000000-0005-0000-0000-0000A6010000}"/>
    <cellStyle name="H_Déf_1.1 Faits Marquants_1 2 2" xfId="423" xr:uid="{00000000-0005-0000-0000-0000A7010000}"/>
    <cellStyle name="H_Déf_1.1 Faits Marquants_1_1 - Fiche descriptive" xfId="424" xr:uid="{00000000-0005-0000-0000-0000A8010000}"/>
    <cellStyle name="H_Déf_1.1 Faits Marquants_1_5-Charges MO" xfId="425" xr:uid="{00000000-0005-0000-0000-0000A9010000}"/>
    <cellStyle name="H_Déf_1.1 Faits Marquants_1_7 - Recommandations AQ" xfId="426" xr:uid="{00000000-0005-0000-0000-0000AA010000}"/>
    <cellStyle name="H_Déf_1.1 Faits Marquants_1_99-2 Baseline Status (ECRs) (2)" xfId="427" xr:uid="{00000000-0005-0000-0000-0000AB010000}"/>
    <cellStyle name="H_Déf_1.1 Faits Marquants_1_99-3 Formal IVV status (2)" xfId="428" xr:uid="{00000000-0005-0000-0000-0000AC010000}"/>
    <cellStyle name="H_Déf_1.1 Faits Marquants_1_MAP-F-DAE-025-00-D" xfId="429" xr:uid="{00000000-0005-0000-0000-0000AD010000}"/>
    <cellStyle name="H_Déf_1.1 Faits Marquants_1_MAP-F-DAE-025-00-D 2" xfId="430" xr:uid="{00000000-0005-0000-0000-0000AE010000}"/>
    <cellStyle name="H_Déf_1.1 Faits Marquants_1_MAP-F-DAE-025-00-D 2 2" xfId="431" xr:uid="{00000000-0005-0000-0000-0000AF010000}"/>
    <cellStyle name="H_Déf_1.1 Faits Marquants_1_MAP-S76-AVS-2010-04.new-xls" xfId="432" xr:uid="{00000000-0005-0000-0000-0000B0010000}"/>
    <cellStyle name="H_Déf_1.1 Faits Marquants_1_Nettoyage_fichier" xfId="433" xr:uid="{00000000-0005-0000-0000-0000B1010000}"/>
    <cellStyle name="H_Déf_1.1 Faits Marquants_1_Nettoyage_fichier 2" xfId="434" xr:uid="{00000000-0005-0000-0000-0000B2010000}"/>
    <cellStyle name="H_Déf_1.1 Faits Marquants_1_Nettoyage_fichier 2 2" xfId="435" xr:uid="{00000000-0005-0000-0000-0000B3010000}"/>
    <cellStyle name="H_Déf_1.1 Faits Marquants_1_TdB 30_04_2010 TASFR00580937AJ-1 THTH" xfId="436" xr:uid="{00000000-0005-0000-0000-0000B4010000}"/>
    <cellStyle name="H_Déf_1.1 Faits Marquants_1_TdB 30_04_2010 TASFR00580937AJ-1 THTH 2" xfId="437" xr:uid="{00000000-0005-0000-0000-0000B5010000}"/>
    <cellStyle name="H_Déf_1.1 Faits Marquants_1_tdb MAP CAM ATR42 NAV 08-00531-03" xfId="438" xr:uid="{00000000-0005-0000-0000-0000B6010000}"/>
    <cellStyle name="H_Déf_1.1 Faits Marquants_1_TdB-S76-CIS-2010-03 V38 Recup" xfId="439" xr:uid="{00000000-0005-0000-0000-0000B7010000}"/>
    <cellStyle name="H_Déf_1.1 Faits Marquants_5-Charges MO" xfId="440" xr:uid="{00000000-0005-0000-0000-0000B8010000}"/>
    <cellStyle name="H_Déf_1.1 Faits Marquants_7 - Recommandations AQ" xfId="441" xr:uid="{00000000-0005-0000-0000-0000B9010000}"/>
    <cellStyle name="H_Déf_1.1 Faits Marquants_99-2 Baseline Status (ECRs) (2)" xfId="442" xr:uid="{00000000-0005-0000-0000-0000BA010000}"/>
    <cellStyle name="H_Déf_1.1 Faits Marquants_99-3 Formal IVV status (2)" xfId="443" xr:uid="{00000000-0005-0000-0000-0000BB010000}"/>
    <cellStyle name="H_Déf_1.1 Faits Marquants_MAP-F-DAE-025-00-D" xfId="444" xr:uid="{00000000-0005-0000-0000-0000BC010000}"/>
    <cellStyle name="H_Déf_1.1 Faits Marquants_MAP-F-DAE-025-00-D 2" xfId="445" xr:uid="{00000000-0005-0000-0000-0000BD010000}"/>
    <cellStyle name="H_Déf_1.1 Faits Marquants_MAP-S76-AVS-2010-04.new-xls" xfId="446" xr:uid="{00000000-0005-0000-0000-0000BE010000}"/>
    <cellStyle name="H_Déf_1.1 Faits Marquants_Nettoyage_fichier" xfId="447" xr:uid="{00000000-0005-0000-0000-0000BF010000}"/>
    <cellStyle name="H_Déf_1.1 Faits Marquants_Nettoyage_fichier 2" xfId="448" xr:uid="{00000000-0005-0000-0000-0000C0010000}"/>
    <cellStyle name="H_Déf_1.1 Faits Marquants_TdB 30_04_2010 TASFR00580937AJ-1 THTH" xfId="449" xr:uid="{00000000-0005-0000-0000-0000C1010000}"/>
    <cellStyle name="H_Déf_1.1 Faits Marquants_tdb MAP CAM ATR42 NAV 08-00531-03" xfId="450" xr:uid="{00000000-0005-0000-0000-0000C2010000}"/>
    <cellStyle name="H_Déf_1.1 Faits Marquants_TdB-S76-CIS-2010-03 V38 Recup" xfId="451" xr:uid="{00000000-0005-0000-0000-0000C3010000}"/>
    <cellStyle name="H_Déf_1.2 Decisions-Actions" xfId="452" xr:uid="{00000000-0005-0000-0000-0000C4010000}"/>
    <cellStyle name="H_Déf_1.2 Décisions-Actions" xfId="453" xr:uid="{00000000-0005-0000-0000-0000C5010000}"/>
    <cellStyle name="H_Déf_1.2 Décisions-Actions 2" xfId="454" xr:uid="{00000000-0005-0000-0000-0000C6010000}"/>
    <cellStyle name="H_Déf_1.2 Décisions-Actions 2 2" xfId="455" xr:uid="{00000000-0005-0000-0000-0000C7010000}"/>
    <cellStyle name="H_Déf_1.2 Décisions-Actions_1 - Fiche descriptive" xfId="456" xr:uid="{00000000-0005-0000-0000-0000C8010000}"/>
    <cellStyle name="H_Déf_1.2 Décisions-Actions_5-Charges MO" xfId="457" xr:uid="{00000000-0005-0000-0000-0000C9010000}"/>
    <cellStyle name="H_Déf_1.2 Décisions-Actions_7 - Recommandations AQ" xfId="458" xr:uid="{00000000-0005-0000-0000-0000CA010000}"/>
    <cellStyle name="H_Déf_1.2 Décisions-Actions_99-2 Baseline Status (ECRs) (2)" xfId="459" xr:uid="{00000000-0005-0000-0000-0000CB010000}"/>
    <cellStyle name="H_Déf_1.2 Décisions-Actions_99-3 Formal IVV status (2)" xfId="460" xr:uid="{00000000-0005-0000-0000-0000CC010000}"/>
    <cellStyle name="H_Déf_1.2 Décisions-Actions_MAP-F-DAE-025-00-D" xfId="461" xr:uid="{00000000-0005-0000-0000-0000CD010000}"/>
    <cellStyle name="H_Déf_1.2 Décisions-Actions_MAP-F-DAE-025-00-D 2" xfId="462" xr:uid="{00000000-0005-0000-0000-0000CE010000}"/>
    <cellStyle name="H_Déf_1.2 Décisions-Actions_MAP-F-DAE-025-00-D 2 2" xfId="463" xr:uid="{00000000-0005-0000-0000-0000CF010000}"/>
    <cellStyle name="H_Déf_1.2 Décisions-Actions_MAP-S76-AVS-2010-04.new-xls" xfId="464" xr:uid="{00000000-0005-0000-0000-0000D0010000}"/>
    <cellStyle name="H_Déf_1.2 Décisions-Actions_Nettoyage_fichier" xfId="465" xr:uid="{00000000-0005-0000-0000-0000D1010000}"/>
    <cellStyle name="H_Déf_1.2 Décisions-Actions_Nettoyage_fichier 2" xfId="466" xr:uid="{00000000-0005-0000-0000-0000D2010000}"/>
    <cellStyle name="H_Déf_1.2 Décisions-Actions_Nettoyage_fichier 2 2" xfId="467" xr:uid="{00000000-0005-0000-0000-0000D3010000}"/>
    <cellStyle name="H_Déf_1.2 Décisions-Actions_TdB 30_04_2010 TASFR00580937AJ-1 THTH" xfId="468" xr:uid="{00000000-0005-0000-0000-0000D4010000}"/>
    <cellStyle name="H_Déf_1.2 Décisions-Actions_TdB 30_04_2010 TASFR00580937AJ-1 THTH 2" xfId="469" xr:uid="{00000000-0005-0000-0000-0000D5010000}"/>
    <cellStyle name="H_Déf_1.2 Décisions-Actions_tdb MAP CAM ATR42 NAV 08-00531-03" xfId="470" xr:uid="{00000000-0005-0000-0000-0000D6010000}"/>
    <cellStyle name="H_Déf_1.2 Décisions-Actions_TdB-S76-CIS-2010-03 V38 Recup" xfId="471" xr:uid="{00000000-0005-0000-0000-0000D7010000}"/>
    <cellStyle name="H_Déf_1.3 Indicateur Satisfaction" xfId="472" xr:uid="{00000000-0005-0000-0000-0000D8010000}"/>
    <cellStyle name="H_Déf_1.3 Indicateur Satisfaction 2" xfId="473" xr:uid="{00000000-0005-0000-0000-0000D9010000}"/>
    <cellStyle name="H_Déf_1.3 Indicateur Satisfaction_1" xfId="474" xr:uid="{00000000-0005-0000-0000-0000DA010000}"/>
    <cellStyle name="H_Déf_1.3 Indicateur Satisfaction_1 - Fiche descriptive" xfId="475" xr:uid="{00000000-0005-0000-0000-0000DB010000}"/>
    <cellStyle name="H_Déf_1.3 Indicateur Satisfaction_1 2" xfId="476" xr:uid="{00000000-0005-0000-0000-0000DC010000}"/>
    <cellStyle name="H_Déf_1.3 Indicateur Satisfaction_1 2 2" xfId="477" xr:uid="{00000000-0005-0000-0000-0000DD010000}"/>
    <cellStyle name="H_Déf_1.3 Indicateur Satisfaction_1_1 - Fiche descriptive" xfId="478" xr:uid="{00000000-0005-0000-0000-0000DE010000}"/>
    <cellStyle name="H_Déf_1.3 Indicateur Satisfaction_1_5-Charges MO" xfId="479" xr:uid="{00000000-0005-0000-0000-0000DF010000}"/>
    <cellStyle name="H_Déf_1.3 Indicateur Satisfaction_1_7 - Recommandations AQ" xfId="480" xr:uid="{00000000-0005-0000-0000-0000E0010000}"/>
    <cellStyle name="H_Déf_1.3 Indicateur Satisfaction_1_99-2 Baseline Status (ECRs) (2)" xfId="481" xr:uid="{00000000-0005-0000-0000-0000E1010000}"/>
    <cellStyle name="H_Déf_1.3 Indicateur Satisfaction_1_99-3 Formal IVV status (2)" xfId="482" xr:uid="{00000000-0005-0000-0000-0000E2010000}"/>
    <cellStyle name="H_Déf_1.3 Indicateur Satisfaction_1_MAP-F-DAE-025-00-D" xfId="483" xr:uid="{00000000-0005-0000-0000-0000E3010000}"/>
    <cellStyle name="H_Déf_1.3 Indicateur Satisfaction_1_MAP-F-DAE-025-00-D 2" xfId="484" xr:uid="{00000000-0005-0000-0000-0000E4010000}"/>
    <cellStyle name="H_Déf_1.3 Indicateur Satisfaction_1_MAP-F-DAE-025-00-D 2 2" xfId="485" xr:uid="{00000000-0005-0000-0000-0000E5010000}"/>
    <cellStyle name="H_Déf_1.3 Indicateur Satisfaction_1_MAP-S76-AVS-2010-04.new-xls" xfId="486" xr:uid="{00000000-0005-0000-0000-0000E6010000}"/>
    <cellStyle name="H_Déf_1.3 Indicateur Satisfaction_1_Nettoyage_fichier" xfId="487" xr:uid="{00000000-0005-0000-0000-0000E7010000}"/>
    <cellStyle name="H_Déf_1.3 Indicateur Satisfaction_1_Nettoyage_fichier 2" xfId="488" xr:uid="{00000000-0005-0000-0000-0000E8010000}"/>
    <cellStyle name="H_Déf_1.3 Indicateur Satisfaction_1_Nettoyage_fichier 2 2" xfId="489" xr:uid="{00000000-0005-0000-0000-0000E9010000}"/>
    <cellStyle name="H_Déf_1.3 Indicateur Satisfaction_1_TdB 30_04_2010 TASFR00580937AJ-1 THTH" xfId="490" xr:uid="{00000000-0005-0000-0000-0000EA010000}"/>
    <cellStyle name="H_Déf_1.3 Indicateur Satisfaction_1_TdB 30_04_2010 TASFR00580937AJ-1 THTH 2" xfId="491" xr:uid="{00000000-0005-0000-0000-0000EB010000}"/>
    <cellStyle name="H_Déf_1.3 Indicateur Satisfaction_1_tdb MAP CAM ATR42 NAV 08-00531-03" xfId="492" xr:uid="{00000000-0005-0000-0000-0000EC010000}"/>
    <cellStyle name="H_Déf_1.3 Indicateur Satisfaction_1_TdB-S76-CIS-2010-03 V38 Recup" xfId="493" xr:uid="{00000000-0005-0000-0000-0000ED010000}"/>
    <cellStyle name="H_Déf_1.3 Indicateur Satisfaction_5-Charges MO" xfId="494" xr:uid="{00000000-0005-0000-0000-0000EE010000}"/>
    <cellStyle name="H_Déf_1.3 Indicateur Satisfaction_7 - Recommandations AQ" xfId="495" xr:uid="{00000000-0005-0000-0000-0000EF010000}"/>
    <cellStyle name="H_Déf_1.3 Indicateur Satisfaction_99-2 Baseline Status (ECRs) (2)" xfId="496" xr:uid="{00000000-0005-0000-0000-0000F0010000}"/>
    <cellStyle name="H_Déf_1.3 Indicateur Satisfaction_99-3 Formal IVV status (2)" xfId="497" xr:uid="{00000000-0005-0000-0000-0000F1010000}"/>
    <cellStyle name="H_Déf_1.3 Indicateur Satisfaction_MAP-F-DAE-025-00-D" xfId="498" xr:uid="{00000000-0005-0000-0000-0000F2010000}"/>
    <cellStyle name="H_Déf_1.3 Indicateur Satisfaction_MAP-F-DAE-025-00-D 2" xfId="499" xr:uid="{00000000-0005-0000-0000-0000F3010000}"/>
    <cellStyle name="H_Déf_1.3 Indicateur Satisfaction_MAP-S76-AVS-2010-04.new-xls" xfId="500" xr:uid="{00000000-0005-0000-0000-0000F4010000}"/>
    <cellStyle name="H_Déf_1.3 Indicateur Satisfaction_Nettoyage_fichier" xfId="501" xr:uid="{00000000-0005-0000-0000-0000F5010000}"/>
    <cellStyle name="H_Déf_1.3 Indicateur Satisfaction_Nettoyage_fichier 2" xfId="502" xr:uid="{00000000-0005-0000-0000-0000F6010000}"/>
    <cellStyle name="H_Déf_1.3 Indicateur Satisfaction_TdB 30_04_2010 TASFR00580937AJ-1 THTH" xfId="503" xr:uid="{00000000-0005-0000-0000-0000F7010000}"/>
    <cellStyle name="H_Déf_1.3 Indicateur Satisfaction_tdb MAP CAM ATR42 NAV 08-00531-03" xfId="504" xr:uid="{00000000-0005-0000-0000-0000F8010000}"/>
    <cellStyle name="H_Déf_1.3 Indicateur Satisfaction_TdB-S76-CIS-2010-03 V38 Recup" xfId="505" xr:uid="{00000000-0005-0000-0000-0000F9010000}"/>
    <cellStyle name="H_Déf_2.2 Jalons (Courbe à 45°)" xfId="506" xr:uid="{00000000-0005-0000-0000-0000FA010000}"/>
    <cellStyle name="H_Déf_2.2 Jalons (Courbe à 45°)_1" xfId="507" xr:uid="{00000000-0005-0000-0000-0000FB010000}"/>
    <cellStyle name="H_Déf_2.2 Jalons (Courbe à 45°)_1 2" xfId="508" xr:uid="{00000000-0005-0000-0000-0000FC010000}"/>
    <cellStyle name="H_Déf_2.2 Jalons (Courbe à 45°)_1_1 - Fiche descriptive" xfId="509" xr:uid="{00000000-0005-0000-0000-0000FD010000}"/>
    <cellStyle name="H_Déf_2.2 Jalons (Courbe à 45°)_1_5-Charges MO" xfId="510" xr:uid="{00000000-0005-0000-0000-0000FE010000}"/>
    <cellStyle name="H_Déf_2.2 Jalons (Courbe à 45°)_1_7 - Recommandations AQ" xfId="511" xr:uid="{00000000-0005-0000-0000-0000FF010000}"/>
    <cellStyle name="H_Déf_2.2 Jalons (Courbe à 45°)_1_99-2 Baseline Status (ECRs) (2)" xfId="512" xr:uid="{00000000-0005-0000-0000-000000020000}"/>
    <cellStyle name="H_Déf_2.2 Jalons (Courbe à 45°)_1_99-3 Formal IVV status (2)" xfId="513" xr:uid="{00000000-0005-0000-0000-000001020000}"/>
    <cellStyle name="H_Déf_2.2 Jalons (Courbe à 45°)_1_MAP-F-DAE-025-00-D" xfId="514" xr:uid="{00000000-0005-0000-0000-000002020000}"/>
    <cellStyle name="H_Déf_2.2 Jalons (Courbe à 45°)_1_MAP-F-DAE-025-00-D 2" xfId="515" xr:uid="{00000000-0005-0000-0000-000003020000}"/>
    <cellStyle name="H_Déf_2.2 Jalons (Courbe à 45°)_1_MAP-S76-AVS-2010-04.new-xls" xfId="516" xr:uid="{00000000-0005-0000-0000-000004020000}"/>
    <cellStyle name="H_Déf_2.2 Jalons (Courbe à 45°)_1_Nettoyage_fichier" xfId="517" xr:uid="{00000000-0005-0000-0000-000005020000}"/>
    <cellStyle name="H_Déf_2.2 Jalons (Courbe à 45°)_1_Nettoyage_fichier 2" xfId="518" xr:uid="{00000000-0005-0000-0000-000006020000}"/>
    <cellStyle name="H_Déf_2.2 Jalons (Courbe à 45°)_1_TdB 30_04_2010 TASFR00580937AJ-1 THTH" xfId="519" xr:uid="{00000000-0005-0000-0000-000007020000}"/>
    <cellStyle name="H_Déf_2.2 Jalons (Courbe à 45°)_1_tdb MAP CAM ATR42 NAV 08-00531-03" xfId="520" xr:uid="{00000000-0005-0000-0000-000008020000}"/>
    <cellStyle name="H_Déf_2.2 Jalons (Courbe à 45°)_1_TdB-S76-CIS-2010-03 V38 Recup" xfId="521" xr:uid="{00000000-0005-0000-0000-000009020000}"/>
    <cellStyle name="H_Déf_2.2 Jalons (Courbe à 45°)_2" xfId="522" xr:uid="{00000000-0005-0000-0000-00000A020000}"/>
    <cellStyle name="H_Déf_2.2 Jalons (Courbe à 45°)_2 2" xfId="523" xr:uid="{00000000-0005-0000-0000-00000B020000}"/>
    <cellStyle name="H_Déf_2.2 Jalons (Courbe à 45°)_2 2 2" xfId="524" xr:uid="{00000000-0005-0000-0000-00000C020000}"/>
    <cellStyle name="H_Déf_2.2 Jalons (Courbe à 45°)_2_1 - Fiche descriptive" xfId="525" xr:uid="{00000000-0005-0000-0000-00000D020000}"/>
    <cellStyle name="H_Déf_2.2 Jalons (Courbe à 45°)_2_5-Charges MO" xfId="526" xr:uid="{00000000-0005-0000-0000-00000E020000}"/>
    <cellStyle name="H_Déf_2.2 Jalons (Courbe à 45°)_2_7 - Recommandations AQ" xfId="527" xr:uid="{00000000-0005-0000-0000-00000F020000}"/>
    <cellStyle name="H_Déf_2.2 Jalons (Courbe à 45°)_2_99-2 Baseline Status (ECRs) (2)" xfId="528" xr:uid="{00000000-0005-0000-0000-000010020000}"/>
    <cellStyle name="H_Déf_2.2 Jalons (Courbe à 45°)_2_99-3 Formal IVV status (2)" xfId="529" xr:uid="{00000000-0005-0000-0000-000011020000}"/>
    <cellStyle name="H_Déf_2.2 Jalons (Courbe à 45°)_2_MAP-F-DAE-025-00-D" xfId="530" xr:uid="{00000000-0005-0000-0000-000012020000}"/>
    <cellStyle name="H_Déf_2.2 Jalons (Courbe à 45°)_2_MAP-F-DAE-025-00-D 2" xfId="531" xr:uid="{00000000-0005-0000-0000-000013020000}"/>
    <cellStyle name="H_Déf_2.2 Jalons (Courbe à 45°)_2_MAP-F-DAE-025-00-D 2 2" xfId="532" xr:uid="{00000000-0005-0000-0000-000014020000}"/>
    <cellStyle name="H_Déf_2.2 Jalons (Courbe à 45°)_2_MAP-S76-AVS-2010-04.new-xls" xfId="533" xr:uid="{00000000-0005-0000-0000-000015020000}"/>
    <cellStyle name="H_Déf_2.2 Jalons (Courbe à 45°)_2_Nettoyage_fichier" xfId="534" xr:uid="{00000000-0005-0000-0000-000016020000}"/>
    <cellStyle name="H_Déf_2.2 Jalons (Courbe à 45°)_2_Nettoyage_fichier 2" xfId="535" xr:uid="{00000000-0005-0000-0000-000017020000}"/>
    <cellStyle name="H_Déf_2.2 Jalons (Courbe à 45°)_2_Nettoyage_fichier 2 2" xfId="536" xr:uid="{00000000-0005-0000-0000-000018020000}"/>
    <cellStyle name="H_Déf_2.2 Jalons (Courbe à 45°)_2_TdB 30_04_2010 TASFR00580937AJ-1 THTH" xfId="537" xr:uid="{00000000-0005-0000-0000-000019020000}"/>
    <cellStyle name="H_Déf_2.2 Jalons (Courbe à 45°)_2_TdB 30_04_2010 TASFR00580937AJ-1 THTH 2" xfId="538" xr:uid="{00000000-0005-0000-0000-00001A020000}"/>
    <cellStyle name="H_Déf_2.2 Jalons (Courbe à 45°)_2_tdb MAP CAM ATR42 NAV 08-00531-03" xfId="539" xr:uid="{00000000-0005-0000-0000-00001B020000}"/>
    <cellStyle name="H_Déf_2.2 Jalons (Courbe à 45°)_2_TdB-S76-CIS-2010-03 V38 Recup" xfId="540" xr:uid="{00000000-0005-0000-0000-00001C020000}"/>
    <cellStyle name="H_Déf_2.2 Jalons (Courbe à 45°)_8.1 COP-CEP" xfId="541" xr:uid="{00000000-0005-0000-0000-00001D020000}"/>
    <cellStyle name="H_Déf_2.2 Jalons (Courbe à 45°)_8.1 COP-CEP 2" xfId="542" xr:uid="{00000000-0005-0000-0000-00001E020000}"/>
    <cellStyle name="H_Déf_2.2 Jalons (Courbe à 45°)_8.1 COP-CEP_1 - Fiche descriptive" xfId="543" xr:uid="{00000000-0005-0000-0000-00001F020000}"/>
    <cellStyle name="H_Déf_2.2 Jalons (Courbe à 45°)_8.1 COP-CEP_5-Charges MO" xfId="544" xr:uid="{00000000-0005-0000-0000-000020020000}"/>
    <cellStyle name="H_Déf_2.2 Jalons (Courbe à 45°)_8.1 COP-CEP_7 - Recommandations AQ" xfId="545" xr:uid="{00000000-0005-0000-0000-000021020000}"/>
    <cellStyle name="H_Déf_2.2 Jalons (Courbe à 45°)_8.1 COP-CEP_99-2 Baseline Status (ECRs) (2)" xfId="546" xr:uid="{00000000-0005-0000-0000-000022020000}"/>
    <cellStyle name="H_Déf_2.2 Jalons (Courbe à 45°)_8.1 COP-CEP_99-3 Formal IVV status (2)" xfId="547" xr:uid="{00000000-0005-0000-0000-000023020000}"/>
    <cellStyle name="H_Déf_2.2 Jalons (Courbe à 45°)_8.1 COP-CEP_MAP-F-DAE-025-00-D" xfId="548" xr:uid="{00000000-0005-0000-0000-000024020000}"/>
    <cellStyle name="H_Déf_2.2 Jalons (Courbe à 45°)_8.1 COP-CEP_MAP-F-DAE-025-00-D 2" xfId="549" xr:uid="{00000000-0005-0000-0000-000025020000}"/>
    <cellStyle name="H_Déf_2.2 Jalons (Courbe à 45°)_8.1 COP-CEP_MAP-S76-AVS-2010-04.new-xls" xfId="550" xr:uid="{00000000-0005-0000-0000-000026020000}"/>
    <cellStyle name="H_Déf_2.2 Jalons (Courbe à 45°)_8.1 COP-CEP_Nettoyage_fichier" xfId="551" xr:uid="{00000000-0005-0000-0000-000027020000}"/>
    <cellStyle name="H_Déf_2.2 Jalons (Courbe à 45°)_8.1 COP-CEP_Nettoyage_fichier 2" xfId="552" xr:uid="{00000000-0005-0000-0000-000028020000}"/>
    <cellStyle name="H_Déf_2.2 Jalons (Courbe à 45°)_8.1 COP-CEP_TdB 30_04_2010 TASFR00580937AJ-1 THTH" xfId="553" xr:uid="{00000000-0005-0000-0000-000029020000}"/>
    <cellStyle name="H_Déf_2.2 Jalons (Courbe à 45°)_8.1 COP-CEP_tdb MAP CAM ATR42 NAV 08-00531-03" xfId="554" xr:uid="{00000000-0005-0000-0000-00002A020000}"/>
    <cellStyle name="H_Déf_2.2 Jalons (Courbe à 45°)_8.1 COP-CEP_TdB-S76-CIS-2010-03 V38 Recup" xfId="555" xr:uid="{00000000-0005-0000-0000-00002B020000}"/>
    <cellStyle name="H_Déf_2.5 Contrat" xfId="556" xr:uid="{00000000-0005-0000-0000-00002C020000}"/>
    <cellStyle name="H_Déf_2.5 Contrat 2" xfId="557" xr:uid="{00000000-0005-0000-0000-00002D020000}"/>
    <cellStyle name="H_Déf_2.5 Contrat 2 2" xfId="558" xr:uid="{00000000-0005-0000-0000-00002E020000}"/>
    <cellStyle name="H_Déf_2.5 Contrat_1 - Fiche descriptive" xfId="559" xr:uid="{00000000-0005-0000-0000-00002F020000}"/>
    <cellStyle name="H_Déf_2.5 Contrat_5-Charges MO" xfId="560" xr:uid="{00000000-0005-0000-0000-000030020000}"/>
    <cellStyle name="H_Déf_2.5 Contrat_7 - Recommandations AQ" xfId="561" xr:uid="{00000000-0005-0000-0000-000031020000}"/>
    <cellStyle name="H_Déf_2.5 Contrat_99-2 Baseline Status (ECRs) (2)" xfId="562" xr:uid="{00000000-0005-0000-0000-000032020000}"/>
    <cellStyle name="H_Déf_2.5 Contrat_99-3 Formal IVV status (2)" xfId="563" xr:uid="{00000000-0005-0000-0000-000033020000}"/>
    <cellStyle name="H_Déf_2.5 Contrat_MAP-F-DAE-025-00-D" xfId="564" xr:uid="{00000000-0005-0000-0000-000034020000}"/>
    <cellStyle name="H_Déf_2.5 Contrat_MAP-F-DAE-025-00-D 2" xfId="565" xr:uid="{00000000-0005-0000-0000-000035020000}"/>
    <cellStyle name="H_Déf_2.5 Contrat_MAP-F-DAE-025-00-D 2 2" xfId="566" xr:uid="{00000000-0005-0000-0000-000036020000}"/>
    <cellStyle name="H_Déf_2.5 Contrat_MAP-S76-AVS-2010-04.new-xls" xfId="567" xr:uid="{00000000-0005-0000-0000-000037020000}"/>
    <cellStyle name="H_Déf_2.5 Contrat_Nettoyage_fichier" xfId="568" xr:uid="{00000000-0005-0000-0000-000038020000}"/>
    <cellStyle name="H_Déf_2.5 Contrat_Nettoyage_fichier 2" xfId="569" xr:uid="{00000000-0005-0000-0000-000039020000}"/>
    <cellStyle name="H_Déf_2.5 Contrat_Nettoyage_fichier 2 2" xfId="570" xr:uid="{00000000-0005-0000-0000-00003A020000}"/>
    <cellStyle name="H_Déf_2.5 Contrat_TdB 30_04_2010 TASFR00580937AJ-1 THTH" xfId="571" xr:uid="{00000000-0005-0000-0000-00003B020000}"/>
    <cellStyle name="H_Déf_2.5 Contrat_TdB 30_04_2010 TASFR00580937AJ-1 THTH 2" xfId="572" xr:uid="{00000000-0005-0000-0000-00003C020000}"/>
    <cellStyle name="H_Déf_2.5 Contrat_tdb MAP CAM ATR42 NAV 08-00531-03" xfId="573" xr:uid="{00000000-0005-0000-0000-00003D020000}"/>
    <cellStyle name="H_Déf_2.5 Contrat_TdB-S76-CIS-2010-03 V38 Recup" xfId="574" xr:uid="{00000000-0005-0000-0000-00003E020000}"/>
    <cellStyle name="H_Déf_2.6 Cust_Internal dependancies" xfId="575" xr:uid="{00000000-0005-0000-0000-00003F020000}"/>
    <cellStyle name="H_Déf_2.6 Obligations Client" xfId="576" xr:uid="{00000000-0005-0000-0000-000040020000}"/>
    <cellStyle name="H_Déf_2.6 Obligations Client 2" xfId="577" xr:uid="{00000000-0005-0000-0000-000041020000}"/>
    <cellStyle name="H_Déf_2.6 Obligations Client 2 2" xfId="578" xr:uid="{00000000-0005-0000-0000-000042020000}"/>
    <cellStyle name="H_Déf_2.6 Obligations Client_1 - Fiche descriptive" xfId="579" xr:uid="{00000000-0005-0000-0000-000043020000}"/>
    <cellStyle name="H_Déf_2.6 Obligations Client_5-Charges MO" xfId="580" xr:uid="{00000000-0005-0000-0000-000044020000}"/>
    <cellStyle name="H_Déf_2.6 Obligations Client_7 - Recommandations AQ" xfId="581" xr:uid="{00000000-0005-0000-0000-000045020000}"/>
    <cellStyle name="H_Déf_2.6 Obligations Client_99-2 Baseline Status (ECRs) (2)" xfId="582" xr:uid="{00000000-0005-0000-0000-000046020000}"/>
    <cellStyle name="H_Déf_2.6 Obligations Client_99-3 Formal IVV status (2)" xfId="583" xr:uid="{00000000-0005-0000-0000-000047020000}"/>
    <cellStyle name="H_Déf_2.6 Obligations Client_MAP-F-DAE-025-00-D" xfId="584" xr:uid="{00000000-0005-0000-0000-000048020000}"/>
    <cellStyle name="H_Déf_2.6 Obligations Client_MAP-F-DAE-025-00-D 2" xfId="585" xr:uid="{00000000-0005-0000-0000-000049020000}"/>
    <cellStyle name="H_Déf_2.6 Obligations Client_MAP-F-DAE-025-00-D 2 2" xfId="586" xr:uid="{00000000-0005-0000-0000-00004A020000}"/>
    <cellStyle name="H_Déf_2.6 Obligations Client_MAP-S76-AVS-2010-04.new-xls" xfId="587" xr:uid="{00000000-0005-0000-0000-00004B020000}"/>
    <cellStyle name="H_Déf_2.6 Obligations Client_Nettoyage_fichier" xfId="588" xr:uid="{00000000-0005-0000-0000-00004C020000}"/>
    <cellStyle name="H_Déf_2.6 Obligations Client_Nettoyage_fichier 2" xfId="589" xr:uid="{00000000-0005-0000-0000-00004D020000}"/>
    <cellStyle name="H_Déf_2.6 Obligations Client_Nettoyage_fichier 2 2" xfId="590" xr:uid="{00000000-0005-0000-0000-00004E020000}"/>
    <cellStyle name="H_Déf_2.6 Obligations Client_TdB 30_04_2010 TASFR00580937AJ-1 THTH" xfId="591" xr:uid="{00000000-0005-0000-0000-00004F020000}"/>
    <cellStyle name="H_Déf_2.6 Obligations Client_TdB 30_04_2010 TASFR00580937AJ-1 THTH 2" xfId="592" xr:uid="{00000000-0005-0000-0000-000050020000}"/>
    <cellStyle name="H_Déf_2.6 Obligations Client_tdb MAP CAM ATR42 NAV 08-00531-03" xfId="593" xr:uid="{00000000-0005-0000-0000-000051020000}"/>
    <cellStyle name="H_Déf_2.6 Obligations Client_TdB-S76-CIS-2010-03 V38 Recup" xfId="594" xr:uid="{00000000-0005-0000-0000-000052020000}"/>
    <cellStyle name="H_Déf_2.7 Change Request" xfId="595" xr:uid="{00000000-0005-0000-0000-000053020000}"/>
    <cellStyle name="H_Déf_2.7 Change Request 2" xfId="596" xr:uid="{00000000-0005-0000-0000-000054020000}"/>
    <cellStyle name="H_Déf_2.7 Change Request 2 2" xfId="597" xr:uid="{00000000-0005-0000-0000-000055020000}"/>
    <cellStyle name="H_Déf_2.7 Change Request_1 - Fiche descriptive" xfId="598" xr:uid="{00000000-0005-0000-0000-000056020000}"/>
    <cellStyle name="H_Déf_2.7 Change Request_5-Charges MO" xfId="599" xr:uid="{00000000-0005-0000-0000-000057020000}"/>
    <cellStyle name="H_Déf_2.7 Change Request_7 - Recommandations AQ" xfId="600" xr:uid="{00000000-0005-0000-0000-000058020000}"/>
    <cellStyle name="H_Déf_2.7 Change Request_99-2 Baseline Status (ECRs) (2)" xfId="601" xr:uid="{00000000-0005-0000-0000-000059020000}"/>
    <cellStyle name="H_Déf_2.7 Change Request_99-3 Formal IVV status (2)" xfId="602" xr:uid="{00000000-0005-0000-0000-00005A020000}"/>
    <cellStyle name="H_Déf_2.7 Change Request_MAP-F-DAE-025-00-D" xfId="603" xr:uid="{00000000-0005-0000-0000-00005B020000}"/>
    <cellStyle name="H_Déf_2.7 Change Request_MAP-F-DAE-025-00-D 2" xfId="604" xr:uid="{00000000-0005-0000-0000-00005C020000}"/>
    <cellStyle name="H_Déf_2.7 Change Request_MAP-F-DAE-025-00-D 2 2" xfId="605" xr:uid="{00000000-0005-0000-0000-00005D020000}"/>
    <cellStyle name="H_Déf_2.7 Change Request_MAP-S76-AVS-2010-04.new-xls" xfId="606" xr:uid="{00000000-0005-0000-0000-00005E020000}"/>
    <cellStyle name="H_Déf_2.7 Change Request_Nettoyage_fichier" xfId="607" xr:uid="{00000000-0005-0000-0000-00005F020000}"/>
    <cellStyle name="H_Déf_2.7 Change Request_Nettoyage_fichier 2" xfId="608" xr:uid="{00000000-0005-0000-0000-000060020000}"/>
    <cellStyle name="H_Déf_2.7 Change Request_Nettoyage_fichier 2 2" xfId="609" xr:uid="{00000000-0005-0000-0000-000061020000}"/>
    <cellStyle name="H_Déf_2.7 Change Request_TdB 30_04_2010 TASFR00580937AJ-1 THTH" xfId="610" xr:uid="{00000000-0005-0000-0000-000062020000}"/>
    <cellStyle name="H_Déf_2.7 Change Request_TdB 30_04_2010 TASFR00580937AJ-1 THTH 2" xfId="611" xr:uid="{00000000-0005-0000-0000-000063020000}"/>
    <cellStyle name="H_Déf_2.7 Change Request_tdb MAP CAM ATR42 NAV 08-00531-03" xfId="612" xr:uid="{00000000-0005-0000-0000-000064020000}"/>
    <cellStyle name="H_Déf_2.7 Change Request_TdB-S76-CIS-2010-03 V38 Recup" xfId="613" xr:uid="{00000000-0005-0000-0000-000065020000}"/>
    <cellStyle name="H_Déf_2007_11_DOR_DRAAMA éd2" xfId="614" xr:uid="{00000000-0005-0000-0000-000066020000}"/>
    <cellStyle name="H_Déf_20080619_Gripen_DOR_TASFR00591390-E" xfId="615" xr:uid="{00000000-0005-0000-0000-000067020000}"/>
    <cellStyle name="H_Déf_3.1 Risks" xfId="616" xr:uid="{00000000-0005-0000-0000-000068020000}"/>
    <cellStyle name="H_Déf_3.1 Risques" xfId="617" xr:uid="{00000000-0005-0000-0000-000069020000}"/>
    <cellStyle name="H_Déf_3.1 Risques 2" xfId="618" xr:uid="{00000000-0005-0000-0000-00006A020000}"/>
    <cellStyle name="H_Déf_3.1 Risques 2 2" xfId="619" xr:uid="{00000000-0005-0000-0000-00006B020000}"/>
    <cellStyle name="H_Déf_3.1 Risques_1 - Fiche descriptive" xfId="620" xr:uid="{00000000-0005-0000-0000-00006C020000}"/>
    <cellStyle name="H_Déf_3.1 Risques_5-Charges MO" xfId="621" xr:uid="{00000000-0005-0000-0000-00006D020000}"/>
    <cellStyle name="H_Déf_3.1 Risques_7 - Recommandations AQ" xfId="622" xr:uid="{00000000-0005-0000-0000-00006E020000}"/>
    <cellStyle name="H_Déf_3.1 Risques_99-2 Baseline Status (ECRs) (2)" xfId="623" xr:uid="{00000000-0005-0000-0000-00006F020000}"/>
    <cellStyle name="H_Déf_3.1 Risques_99-3 Formal IVV status (2)" xfId="624" xr:uid="{00000000-0005-0000-0000-000070020000}"/>
    <cellStyle name="H_Déf_3.1 Risques_MAP-F-DAE-025-00-D" xfId="625" xr:uid="{00000000-0005-0000-0000-000071020000}"/>
    <cellStyle name="H_Déf_3.1 Risques_MAP-F-DAE-025-00-D 2" xfId="626" xr:uid="{00000000-0005-0000-0000-000072020000}"/>
    <cellStyle name="H_Déf_3.1 Risques_MAP-F-DAE-025-00-D 2 2" xfId="627" xr:uid="{00000000-0005-0000-0000-000073020000}"/>
    <cellStyle name="H_Déf_3.1 Risques_MAP-S76-AVS-2010-04.new-xls" xfId="628" xr:uid="{00000000-0005-0000-0000-000074020000}"/>
    <cellStyle name="H_Déf_3.1 Risques_Nettoyage_fichier" xfId="629" xr:uid="{00000000-0005-0000-0000-000075020000}"/>
    <cellStyle name="H_Déf_3.1 Risques_Nettoyage_fichier 2" xfId="630" xr:uid="{00000000-0005-0000-0000-000076020000}"/>
    <cellStyle name="H_Déf_3.1 Risques_Nettoyage_fichier 2 2" xfId="631" xr:uid="{00000000-0005-0000-0000-000077020000}"/>
    <cellStyle name="H_Déf_3.1 Risques_TdB 30_04_2010 TASFR00580937AJ-1 THTH" xfId="632" xr:uid="{00000000-0005-0000-0000-000078020000}"/>
    <cellStyle name="H_Déf_3.1 Risques_TdB 30_04_2010 TASFR00580937AJ-1 THTH 2" xfId="633" xr:uid="{00000000-0005-0000-0000-000079020000}"/>
    <cellStyle name="H_Déf_3.1 Risques_tdb MAP CAM ATR42 NAV 08-00531-03" xfId="634" xr:uid="{00000000-0005-0000-0000-00007A020000}"/>
    <cellStyle name="H_Déf_3.1 Risques_TdB-S76-CIS-2010-03 V38 Recup" xfId="635" xr:uid="{00000000-0005-0000-0000-00007B020000}"/>
    <cellStyle name="H_Déf_3.2 Opportunités" xfId="636" xr:uid="{00000000-0005-0000-0000-00007C020000}"/>
    <cellStyle name="H_Déf_3.2 Opportunités 2" xfId="637" xr:uid="{00000000-0005-0000-0000-00007D020000}"/>
    <cellStyle name="H_Déf_3.2 Opportunités 2 2" xfId="638" xr:uid="{00000000-0005-0000-0000-00007E020000}"/>
    <cellStyle name="H_Déf_3.2 Opportunités_1 - Fiche descriptive" xfId="639" xr:uid="{00000000-0005-0000-0000-00007F020000}"/>
    <cellStyle name="H_Déf_3.2 Opportunités_5-Charges MO" xfId="640" xr:uid="{00000000-0005-0000-0000-000080020000}"/>
    <cellStyle name="H_Déf_3.2 Opportunités_7 - Recommandations AQ" xfId="641" xr:uid="{00000000-0005-0000-0000-000081020000}"/>
    <cellStyle name="H_Déf_3.2 Opportunités_99-2 Baseline Status (ECRs) (2)" xfId="642" xr:uid="{00000000-0005-0000-0000-000082020000}"/>
    <cellStyle name="H_Déf_3.2 Opportunités_99-3 Formal IVV status (2)" xfId="643" xr:uid="{00000000-0005-0000-0000-000083020000}"/>
    <cellStyle name="H_Déf_3.2 Opportunités_MAP-F-DAE-025-00-D" xfId="644" xr:uid="{00000000-0005-0000-0000-000084020000}"/>
    <cellStyle name="H_Déf_3.2 Opportunités_MAP-F-DAE-025-00-D 2" xfId="645" xr:uid="{00000000-0005-0000-0000-000085020000}"/>
    <cellStyle name="H_Déf_3.2 Opportunités_MAP-F-DAE-025-00-D 2 2" xfId="646" xr:uid="{00000000-0005-0000-0000-000086020000}"/>
    <cellStyle name="H_Déf_3.2 Opportunités_MAP-S76-AVS-2010-04.new-xls" xfId="647" xr:uid="{00000000-0005-0000-0000-000087020000}"/>
    <cellStyle name="H_Déf_3.2 Opportunités_Nettoyage_fichier" xfId="648" xr:uid="{00000000-0005-0000-0000-000088020000}"/>
    <cellStyle name="H_Déf_3.2 Opportunités_Nettoyage_fichier 2" xfId="649" xr:uid="{00000000-0005-0000-0000-000089020000}"/>
    <cellStyle name="H_Déf_3.2 Opportunités_Nettoyage_fichier 2 2" xfId="650" xr:uid="{00000000-0005-0000-0000-00008A020000}"/>
    <cellStyle name="H_Déf_3.2 Opportunités_TdB 30_04_2010 TASFR00580937AJ-1 THTH" xfId="651" xr:uid="{00000000-0005-0000-0000-00008B020000}"/>
    <cellStyle name="H_Déf_3.2 Opportunités_TdB 30_04_2010 TASFR00580937AJ-1 THTH 2" xfId="652" xr:uid="{00000000-0005-0000-0000-00008C020000}"/>
    <cellStyle name="H_Déf_3.2 Opportunités_tdb MAP CAM ATR42 NAV 08-00531-03" xfId="653" xr:uid="{00000000-0005-0000-0000-00008D020000}"/>
    <cellStyle name="H_Déf_3.2 Opportunités_TdB-S76-CIS-2010-03 V38 Recup" xfId="654" xr:uid="{00000000-0005-0000-0000-00008E020000}"/>
    <cellStyle name="H_Déf_3.2 Opportunities" xfId="655" xr:uid="{00000000-0005-0000-0000-00008F020000}"/>
    <cellStyle name="H_Déf_5.1 Charges - ressources" xfId="656" xr:uid="{00000000-0005-0000-0000-000090020000}"/>
    <cellStyle name="H_Déf_5.1 Charges - ressources 2" xfId="657" xr:uid="{00000000-0005-0000-0000-000091020000}"/>
    <cellStyle name="H_Déf_5.1 Charges - ressources 2 2" xfId="658" xr:uid="{00000000-0005-0000-0000-000092020000}"/>
    <cellStyle name="H_Déf_5.1 Charges - ressources_1 - Fiche descriptive" xfId="659" xr:uid="{00000000-0005-0000-0000-000093020000}"/>
    <cellStyle name="H_Déf_5.1 Charges - ressources_5-Charges MO" xfId="660" xr:uid="{00000000-0005-0000-0000-000094020000}"/>
    <cellStyle name="H_Déf_5.1 Charges - ressources_7 - Recommandations AQ" xfId="661" xr:uid="{00000000-0005-0000-0000-000095020000}"/>
    <cellStyle name="H_Déf_5.1 Charges - ressources_99-2 Baseline Status (ECRs) (2)" xfId="662" xr:uid="{00000000-0005-0000-0000-000096020000}"/>
    <cellStyle name="H_Déf_5.1 Charges - ressources_99-3 Formal IVV status (2)" xfId="663" xr:uid="{00000000-0005-0000-0000-000097020000}"/>
    <cellStyle name="H_Déf_5.1 Charges - ressources_MAP-F-DAE-025-00-D" xfId="664" xr:uid="{00000000-0005-0000-0000-000098020000}"/>
    <cellStyle name="H_Déf_5.1 Charges - ressources_MAP-F-DAE-025-00-D 2" xfId="665" xr:uid="{00000000-0005-0000-0000-000099020000}"/>
    <cellStyle name="H_Déf_5.1 Charges - ressources_MAP-F-DAE-025-00-D 2 2" xfId="666" xr:uid="{00000000-0005-0000-0000-00009A020000}"/>
    <cellStyle name="H_Déf_5.1 Charges - ressources_MAP-S76-AVS-2010-04.new-xls" xfId="667" xr:uid="{00000000-0005-0000-0000-00009B020000}"/>
    <cellStyle name="H_Déf_5.1 Charges - ressources_Nettoyage_fichier" xfId="668" xr:uid="{00000000-0005-0000-0000-00009C020000}"/>
    <cellStyle name="H_Déf_5.1 Charges - ressources_Nettoyage_fichier 2" xfId="669" xr:uid="{00000000-0005-0000-0000-00009D020000}"/>
    <cellStyle name="H_Déf_5.1 Charges - ressources_Nettoyage_fichier 2 2" xfId="670" xr:uid="{00000000-0005-0000-0000-00009E020000}"/>
    <cellStyle name="H_Déf_5.1 Charges - ressources_TdB 30_04_2010 TASFR00580937AJ-1 THTH" xfId="671" xr:uid="{00000000-0005-0000-0000-00009F020000}"/>
    <cellStyle name="H_Déf_5.1 Charges - ressources_TdB 30_04_2010 TASFR00580937AJ-1 THTH 2" xfId="672" xr:uid="{00000000-0005-0000-0000-0000A0020000}"/>
    <cellStyle name="H_Déf_5.1 Charges - ressources_tdb MAP CAM ATR42 NAV 08-00531-03" xfId="673" xr:uid="{00000000-0005-0000-0000-0000A1020000}"/>
    <cellStyle name="H_Déf_5.1 Charges - ressources_TdB-S76-CIS-2010-03 V38 Recup" xfId="674" xr:uid="{00000000-0005-0000-0000-0000A2020000}"/>
    <cellStyle name="H_Déf_5.1 Labor workload" xfId="675" xr:uid="{00000000-0005-0000-0000-0000A3020000}"/>
    <cellStyle name="H_Déf_6 - Prochaines Etapes" xfId="676" xr:uid="{00000000-0005-0000-0000-0000A4020000}"/>
    <cellStyle name="H_Déf_6 - Prochaines Etapes 2" xfId="677" xr:uid="{00000000-0005-0000-0000-0000A5020000}"/>
    <cellStyle name="H_Déf_6 - Prochaines Etapes 2 2" xfId="678" xr:uid="{00000000-0005-0000-0000-0000A6020000}"/>
    <cellStyle name="H_Déf_6 - Prochaines Etapes_1 - Fiche descriptive" xfId="679" xr:uid="{00000000-0005-0000-0000-0000A7020000}"/>
    <cellStyle name="H_Déf_6 - Prochaines Etapes_5-Charges MO" xfId="680" xr:uid="{00000000-0005-0000-0000-0000A8020000}"/>
    <cellStyle name="H_Déf_6 - Prochaines Etapes_7 - Recommandations AQ" xfId="681" xr:uid="{00000000-0005-0000-0000-0000A9020000}"/>
    <cellStyle name="H_Déf_6 - Prochaines Etapes_99-2 Baseline Status (ECRs) (2)" xfId="682" xr:uid="{00000000-0005-0000-0000-0000AA020000}"/>
    <cellStyle name="H_Déf_6 - Prochaines Etapes_99-3 Formal IVV status (2)" xfId="683" xr:uid="{00000000-0005-0000-0000-0000AB020000}"/>
    <cellStyle name="H_Déf_6 - Prochaines Etapes_MAP-F-DAE-025-00-D" xfId="684" xr:uid="{00000000-0005-0000-0000-0000AC020000}"/>
    <cellStyle name="H_Déf_6 - Prochaines Etapes_MAP-F-DAE-025-00-D 2" xfId="685" xr:uid="{00000000-0005-0000-0000-0000AD020000}"/>
    <cellStyle name="H_Déf_6 - Prochaines Etapes_MAP-F-DAE-025-00-D 2 2" xfId="686" xr:uid="{00000000-0005-0000-0000-0000AE020000}"/>
    <cellStyle name="H_Déf_6 - Prochaines Etapes_MAP-S76-AVS-2010-04.new-xls" xfId="687" xr:uid="{00000000-0005-0000-0000-0000AF020000}"/>
    <cellStyle name="H_Déf_6 - Prochaines Etapes_Nettoyage_fichier" xfId="688" xr:uid="{00000000-0005-0000-0000-0000B0020000}"/>
    <cellStyle name="H_Déf_6 - Prochaines Etapes_Nettoyage_fichier 2" xfId="689" xr:uid="{00000000-0005-0000-0000-0000B1020000}"/>
    <cellStyle name="H_Déf_6 - Prochaines Etapes_Nettoyage_fichier 2 2" xfId="690" xr:uid="{00000000-0005-0000-0000-0000B2020000}"/>
    <cellStyle name="H_Déf_6 - Prochaines Etapes_TdB 30_04_2010 TASFR00580937AJ-1 THTH" xfId="691" xr:uid="{00000000-0005-0000-0000-0000B3020000}"/>
    <cellStyle name="H_Déf_6 - Prochaines Etapes_TdB 30_04_2010 TASFR00580937AJ-1 THTH 2" xfId="692" xr:uid="{00000000-0005-0000-0000-0000B4020000}"/>
    <cellStyle name="H_Déf_6 - Prochaines Etapes_tdb MAP CAM ATR42 NAV 08-00531-03" xfId="693" xr:uid="{00000000-0005-0000-0000-0000B5020000}"/>
    <cellStyle name="H_Déf_6 - Prochaines Etapes_TdB-S76-CIS-2010-03 V38 Recup" xfId="694" xr:uid="{00000000-0005-0000-0000-0000B6020000}"/>
    <cellStyle name="H_Déf_7.10 Autres aspects" xfId="695" xr:uid="{00000000-0005-0000-0000-0000B7020000}"/>
    <cellStyle name="H_Déf_7.10 Autres aspects 2" xfId="696" xr:uid="{00000000-0005-0000-0000-0000B8020000}"/>
    <cellStyle name="H_Déf_7.10 Autres aspects 2 2" xfId="697" xr:uid="{00000000-0005-0000-0000-0000B9020000}"/>
    <cellStyle name="H_Déf_7.10 Autres aspects_1 - Fiche descriptive" xfId="698" xr:uid="{00000000-0005-0000-0000-0000BA020000}"/>
    <cellStyle name="H_Déf_7.10 Autres aspects_5-Charges MO" xfId="699" xr:uid="{00000000-0005-0000-0000-0000BB020000}"/>
    <cellStyle name="H_Déf_7.10 Autres aspects_7 - Recommandations AQ" xfId="700" xr:uid="{00000000-0005-0000-0000-0000BC020000}"/>
    <cellStyle name="H_Déf_7.10 Autres aspects_99-2 Baseline Status (ECRs) (2)" xfId="701" xr:uid="{00000000-0005-0000-0000-0000BD020000}"/>
    <cellStyle name="H_Déf_7.10 Autres aspects_99-3 Formal IVV status (2)" xfId="702" xr:uid="{00000000-0005-0000-0000-0000BE020000}"/>
    <cellStyle name="H_Déf_7.10 Autres aspects_MAP-F-DAE-025-00-D" xfId="703" xr:uid="{00000000-0005-0000-0000-0000BF020000}"/>
    <cellStyle name="H_Déf_7.10 Autres aspects_MAP-F-DAE-025-00-D 2" xfId="704" xr:uid="{00000000-0005-0000-0000-0000C0020000}"/>
    <cellStyle name="H_Déf_7.10 Autres aspects_MAP-F-DAE-025-00-D 2 2" xfId="705" xr:uid="{00000000-0005-0000-0000-0000C1020000}"/>
    <cellStyle name="H_Déf_7.10 Autres aspects_MAP-S76-AVS-2010-04.new-xls" xfId="706" xr:uid="{00000000-0005-0000-0000-0000C2020000}"/>
    <cellStyle name="H_Déf_7.10 Autres aspects_Nettoyage_fichier" xfId="707" xr:uid="{00000000-0005-0000-0000-0000C3020000}"/>
    <cellStyle name="H_Déf_7.10 Autres aspects_Nettoyage_fichier 2" xfId="708" xr:uid="{00000000-0005-0000-0000-0000C4020000}"/>
    <cellStyle name="H_Déf_7.10 Autres aspects_Nettoyage_fichier 2 2" xfId="709" xr:uid="{00000000-0005-0000-0000-0000C5020000}"/>
    <cellStyle name="H_Déf_7.10 Autres aspects_TdB 30_04_2010 TASFR00580937AJ-1 THTH" xfId="710" xr:uid="{00000000-0005-0000-0000-0000C6020000}"/>
    <cellStyle name="H_Déf_7.10 Autres aspects_TdB 30_04_2010 TASFR00580937AJ-1 THTH 2" xfId="711" xr:uid="{00000000-0005-0000-0000-0000C7020000}"/>
    <cellStyle name="H_Déf_7.10 Autres aspects_tdb MAP CAM ATR42 NAV 08-00531-03" xfId="712" xr:uid="{00000000-0005-0000-0000-0000C8020000}"/>
    <cellStyle name="H_Déf_7.10 Autres aspects_TdB-S76-CIS-2010-03 V38 Recup" xfId="713" xr:uid="{00000000-0005-0000-0000-0000C9020000}"/>
    <cellStyle name="H_Déf_8.1 COP-CEP" xfId="714" xr:uid="{00000000-0005-0000-0000-0000CA020000}"/>
    <cellStyle name="H_Déf_8.2 Synthèse CPE CPP" xfId="715" xr:uid="{00000000-0005-0000-0000-0000CB020000}"/>
    <cellStyle name="H_Déf_8.2 Synthèse CPE CPP 2" xfId="716" xr:uid="{00000000-0005-0000-0000-0000CC020000}"/>
    <cellStyle name="H_Déf_8.2 Synthèse CPE CPP 2 2" xfId="717" xr:uid="{00000000-0005-0000-0000-0000CD020000}"/>
    <cellStyle name="H_Déf_8.2 Synthèse CPE CPP_1 - Fiche descriptive" xfId="718" xr:uid="{00000000-0005-0000-0000-0000CE020000}"/>
    <cellStyle name="H_Déf_8.2 Synthèse CPE CPP_5-Charges MO" xfId="719" xr:uid="{00000000-0005-0000-0000-0000CF020000}"/>
    <cellStyle name="H_Déf_8.2 Synthèse CPE CPP_7 - Recommandations AQ" xfId="720" xr:uid="{00000000-0005-0000-0000-0000D0020000}"/>
    <cellStyle name="H_Déf_8.2 Synthèse CPE CPP_99-2 Baseline Status (ECRs) (2)" xfId="721" xr:uid="{00000000-0005-0000-0000-0000D1020000}"/>
    <cellStyle name="H_Déf_8.2 Synthèse CPE CPP_99-3 Formal IVV status (2)" xfId="722" xr:uid="{00000000-0005-0000-0000-0000D2020000}"/>
    <cellStyle name="H_Déf_8.2 Synthèse CPE CPP_MAP-F-DAE-025-00-D" xfId="723" xr:uid="{00000000-0005-0000-0000-0000D3020000}"/>
    <cellStyle name="H_Déf_8.2 Synthèse CPE CPP_MAP-F-DAE-025-00-D 2" xfId="724" xr:uid="{00000000-0005-0000-0000-0000D4020000}"/>
    <cellStyle name="H_Déf_8.2 Synthèse CPE CPP_MAP-F-DAE-025-00-D 2 2" xfId="725" xr:uid="{00000000-0005-0000-0000-0000D5020000}"/>
    <cellStyle name="H_Déf_8.2 Synthèse CPE CPP_MAP-S76-AVS-2010-04.new-xls" xfId="726" xr:uid="{00000000-0005-0000-0000-0000D6020000}"/>
    <cellStyle name="H_Déf_8.2 Synthèse CPE CPP_Nettoyage_fichier" xfId="727" xr:uid="{00000000-0005-0000-0000-0000D7020000}"/>
    <cellStyle name="H_Déf_8.2 Synthèse CPE CPP_Nettoyage_fichier 2" xfId="728" xr:uid="{00000000-0005-0000-0000-0000D8020000}"/>
    <cellStyle name="H_Déf_8.2 Synthèse CPE CPP_Nettoyage_fichier 2 2" xfId="729" xr:uid="{00000000-0005-0000-0000-0000D9020000}"/>
    <cellStyle name="H_Déf_8.2 Synthèse CPE CPP_TdB 30_04_2010 TASFR00580937AJ-1 THTH" xfId="730" xr:uid="{00000000-0005-0000-0000-0000DA020000}"/>
    <cellStyle name="H_Déf_8.2 Synthèse CPE CPP_TdB 30_04_2010 TASFR00580937AJ-1 THTH 2" xfId="731" xr:uid="{00000000-0005-0000-0000-0000DB020000}"/>
    <cellStyle name="H_Déf_8.2 Synthèse CPE CPP_tdb MAP CAM ATR42 NAV 08-00531-03" xfId="732" xr:uid="{00000000-0005-0000-0000-0000DC020000}"/>
    <cellStyle name="H_Déf_8.2 Synthèse CPE CPP_TdB-S76-CIS-2010-03 V38 Recup" xfId="733" xr:uid="{00000000-0005-0000-0000-0000DD020000}"/>
    <cellStyle name="H_Déf_8.3 CPE-CPP par lots" xfId="734" xr:uid="{00000000-0005-0000-0000-0000DE020000}"/>
    <cellStyle name="H_Déf_8.3 CPE-CPP par lots 2" xfId="735" xr:uid="{00000000-0005-0000-0000-0000DF020000}"/>
    <cellStyle name="H_Déf_8.3 CPE-CPP par lots 2 2" xfId="736" xr:uid="{00000000-0005-0000-0000-0000E0020000}"/>
    <cellStyle name="H_Déf_8.3 CPE-CPP par lots_1 - Fiche descriptive" xfId="737" xr:uid="{00000000-0005-0000-0000-0000E1020000}"/>
    <cellStyle name="H_Déf_8.3 CPE-CPP par lots_5-Charges MO" xfId="738" xr:uid="{00000000-0005-0000-0000-0000E2020000}"/>
    <cellStyle name="H_Déf_8.3 CPE-CPP par lots_7 - Recommandations AQ" xfId="739" xr:uid="{00000000-0005-0000-0000-0000E3020000}"/>
    <cellStyle name="H_Déf_8.3 CPE-CPP par lots_99-2 Baseline Status (ECRs) (2)" xfId="740" xr:uid="{00000000-0005-0000-0000-0000E4020000}"/>
    <cellStyle name="H_Déf_8.3 CPE-CPP par lots_99-3 Formal IVV status (2)" xfId="741" xr:uid="{00000000-0005-0000-0000-0000E5020000}"/>
    <cellStyle name="H_Déf_8.3 CPE-CPP par lots_MAP-F-DAE-025-00-D" xfId="742" xr:uid="{00000000-0005-0000-0000-0000E6020000}"/>
    <cellStyle name="H_Déf_8.3 CPE-CPP par lots_MAP-F-DAE-025-00-D 2" xfId="743" xr:uid="{00000000-0005-0000-0000-0000E7020000}"/>
    <cellStyle name="H_Déf_8.3 CPE-CPP par lots_MAP-F-DAE-025-00-D 2 2" xfId="744" xr:uid="{00000000-0005-0000-0000-0000E8020000}"/>
    <cellStyle name="H_Déf_8.3 CPE-CPP par lots_MAP-S76-AVS-2010-04.new-xls" xfId="745" xr:uid="{00000000-0005-0000-0000-0000E9020000}"/>
    <cellStyle name="H_Déf_8.3 CPE-CPP par lots_Nettoyage_fichier" xfId="746" xr:uid="{00000000-0005-0000-0000-0000EA020000}"/>
    <cellStyle name="H_Déf_8.3 CPE-CPP par lots_Nettoyage_fichier 2" xfId="747" xr:uid="{00000000-0005-0000-0000-0000EB020000}"/>
    <cellStyle name="H_Déf_8.3 CPE-CPP par lots_Nettoyage_fichier 2 2" xfId="748" xr:uid="{00000000-0005-0000-0000-0000EC020000}"/>
    <cellStyle name="H_Déf_8.3 CPE-CPP par lots_TdB 30_04_2010 TASFR00580937AJ-1 THTH" xfId="749" xr:uid="{00000000-0005-0000-0000-0000ED020000}"/>
    <cellStyle name="H_Déf_8.3 CPE-CPP par lots_TdB 30_04_2010 TASFR00580937AJ-1 THTH 2" xfId="750" xr:uid="{00000000-0005-0000-0000-0000EE020000}"/>
    <cellStyle name="H_Déf_8.3 CPE-CPP par lots_tdb MAP CAM ATR42 NAV 08-00531-03" xfId="751" xr:uid="{00000000-0005-0000-0000-0000EF020000}"/>
    <cellStyle name="H_Déf_8.3 CPE-CPP par lots_TdB-S76-CIS-2010-03 V38 Recup" xfId="752" xr:uid="{00000000-0005-0000-0000-0000F0020000}"/>
    <cellStyle name="H_Déf_8.4 Courbe dépenses CPR-PPS" xfId="753" xr:uid="{00000000-0005-0000-0000-0000F1020000}"/>
    <cellStyle name="H_Déf_8.4 Courbe dépenses CPR-PPS 2" xfId="754" xr:uid="{00000000-0005-0000-0000-0000F2020000}"/>
    <cellStyle name="H_Déf_8.4 Courbe dépenses CPR-PPS 2 2" xfId="755" xr:uid="{00000000-0005-0000-0000-0000F3020000}"/>
    <cellStyle name="H_Déf_8.4 Courbe dépenses CPR-PPS_1 - Fiche descriptive" xfId="756" xr:uid="{00000000-0005-0000-0000-0000F4020000}"/>
    <cellStyle name="H_Déf_8.4 Courbe dépenses CPR-PPS_5-Charges MO" xfId="757" xr:uid="{00000000-0005-0000-0000-0000F5020000}"/>
    <cellStyle name="H_Déf_8.4 Courbe dépenses CPR-PPS_7 - Recommandations AQ" xfId="758" xr:uid="{00000000-0005-0000-0000-0000F6020000}"/>
    <cellStyle name="H_Déf_8.4 Courbe dépenses CPR-PPS_99-2 Baseline Status (ECRs) (2)" xfId="759" xr:uid="{00000000-0005-0000-0000-0000F7020000}"/>
    <cellStyle name="H_Déf_8.4 Courbe dépenses CPR-PPS_99-3 Formal IVV status (2)" xfId="760" xr:uid="{00000000-0005-0000-0000-0000F8020000}"/>
    <cellStyle name="H_Déf_8.4 Courbe dépenses CPR-PPS_MAP-F-DAE-025-00-D" xfId="761" xr:uid="{00000000-0005-0000-0000-0000F9020000}"/>
    <cellStyle name="H_Déf_8.4 Courbe dépenses CPR-PPS_MAP-F-DAE-025-00-D 2" xfId="762" xr:uid="{00000000-0005-0000-0000-0000FA020000}"/>
    <cellStyle name="H_Déf_8.4 Courbe dépenses CPR-PPS_MAP-F-DAE-025-00-D 2 2" xfId="763" xr:uid="{00000000-0005-0000-0000-0000FB020000}"/>
    <cellStyle name="H_Déf_8.4 Courbe dépenses CPR-PPS_MAP-S76-AVS-2010-04.new-xls" xfId="764" xr:uid="{00000000-0005-0000-0000-0000FC020000}"/>
    <cellStyle name="H_Déf_8.4 Courbe dépenses CPR-PPS_Nettoyage_fichier" xfId="765" xr:uid="{00000000-0005-0000-0000-0000FD020000}"/>
    <cellStyle name="H_Déf_8.4 Courbe dépenses CPR-PPS_Nettoyage_fichier 2" xfId="766" xr:uid="{00000000-0005-0000-0000-0000FE020000}"/>
    <cellStyle name="H_Déf_8.4 Courbe dépenses CPR-PPS_Nettoyage_fichier 2 2" xfId="767" xr:uid="{00000000-0005-0000-0000-0000FF020000}"/>
    <cellStyle name="H_Déf_8.4 Courbe dépenses CPR-PPS_TdB 30_04_2010 TASFR00580937AJ-1 THTH" xfId="768" xr:uid="{00000000-0005-0000-0000-000000030000}"/>
    <cellStyle name="H_Déf_8.4 Courbe dépenses CPR-PPS_TdB 30_04_2010 TASFR00580937AJ-1 THTH 2" xfId="769" xr:uid="{00000000-0005-0000-0000-000001030000}"/>
    <cellStyle name="H_Déf_8.4 Courbe dépenses CPR-PPS_tdb MAP CAM ATR42 NAV 08-00531-03" xfId="770" xr:uid="{00000000-0005-0000-0000-000002030000}"/>
    <cellStyle name="H_Déf_8.4 Courbe dépenses CPR-PPS_TdB-S76-CIS-2010-03 V38 Recup" xfId="771" xr:uid="{00000000-0005-0000-0000-000003030000}"/>
    <cellStyle name="H_Déf_8.5 Situation financière" xfId="772" xr:uid="{00000000-0005-0000-0000-000004030000}"/>
    <cellStyle name="H_Déf_8.5 Situation financière 2" xfId="773" xr:uid="{00000000-0005-0000-0000-000005030000}"/>
    <cellStyle name="H_Déf_8.5 Situation financière 2 2" xfId="774" xr:uid="{00000000-0005-0000-0000-000006030000}"/>
    <cellStyle name="H_Déf_8.5 Situation financière_1 - Fiche descriptive" xfId="775" xr:uid="{00000000-0005-0000-0000-000007030000}"/>
    <cellStyle name="H_Déf_8.5 Situation financière_5-Charges MO" xfId="776" xr:uid="{00000000-0005-0000-0000-000008030000}"/>
    <cellStyle name="H_Déf_8.5 Situation financière_7 - Recommandations AQ" xfId="777" xr:uid="{00000000-0005-0000-0000-000009030000}"/>
    <cellStyle name="H_Déf_8.5 Situation financière_99-2 Baseline Status (ECRs) (2)" xfId="778" xr:uid="{00000000-0005-0000-0000-00000A030000}"/>
    <cellStyle name="H_Déf_8.5 Situation financière_99-3 Formal IVV status (2)" xfId="779" xr:uid="{00000000-0005-0000-0000-00000B030000}"/>
    <cellStyle name="H_Déf_8.5 Situation financière_MAP-F-DAE-025-00-D" xfId="780" xr:uid="{00000000-0005-0000-0000-00000C030000}"/>
    <cellStyle name="H_Déf_8.5 Situation financière_MAP-F-DAE-025-00-D 2" xfId="781" xr:uid="{00000000-0005-0000-0000-00000D030000}"/>
    <cellStyle name="H_Déf_8.5 Situation financière_MAP-F-DAE-025-00-D 2 2" xfId="782" xr:uid="{00000000-0005-0000-0000-00000E030000}"/>
    <cellStyle name="H_Déf_8.5 Situation financière_MAP-S76-AVS-2010-04.new-xls" xfId="783" xr:uid="{00000000-0005-0000-0000-00000F030000}"/>
    <cellStyle name="H_Déf_8.5 Situation financière_Nettoyage_fichier" xfId="784" xr:uid="{00000000-0005-0000-0000-000010030000}"/>
    <cellStyle name="H_Déf_8.5 Situation financière_Nettoyage_fichier 2" xfId="785" xr:uid="{00000000-0005-0000-0000-000011030000}"/>
    <cellStyle name="H_Déf_8.5 Situation financière_Nettoyage_fichier 2 2" xfId="786" xr:uid="{00000000-0005-0000-0000-000012030000}"/>
    <cellStyle name="H_Déf_8.5 Situation financière_TdB 30_04_2010 TASFR00580937AJ-1 THTH" xfId="787" xr:uid="{00000000-0005-0000-0000-000013030000}"/>
    <cellStyle name="H_Déf_8.5 Situation financière_TdB 30_04_2010 TASFR00580937AJ-1 THTH 2" xfId="788" xr:uid="{00000000-0005-0000-0000-000014030000}"/>
    <cellStyle name="H_Déf_8.5 Situation financière_tdb MAP CAM ATR42 NAV 08-00531-03" xfId="789" xr:uid="{00000000-0005-0000-0000-000015030000}"/>
    <cellStyle name="H_Déf_8.5 Situation financière_TdB-S76-CIS-2010-03 V38 Recup" xfId="790" xr:uid="{00000000-0005-0000-0000-000016030000}"/>
    <cellStyle name="H_Déf_8.6 Rentabilité à terminaison" xfId="791" xr:uid="{00000000-0005-0000-0000-000017030000}"/>
    <cellStyle name="H_Déf_8.6 Rentabilité à terminaison 2" xfId="792" xr:uid="{00000000-0005-0000-0000-000018030000}"/>
    <cellStyle name="H_Déf_8.6 Rentabilité à terminaison 2 2" xfId="793" xr:uid="{00000000-0005-0000-0000-000019030000}"/>
    <cellStyle name="H_Déf_8.6 Rentabilité à terminaison_1 - Fiche descriptive" xfId="794" xr:uid="{00000000-0005-0000-0000-00001A030000}"/>
    <cellStyle name="H_Déf_8.6 Rentabilité à terminaison_5-Charges MO" xfId="795" xr:uid="{00000000-0005-0000-0000-00001B030000}"/>
    <cellStyle name="H_Déf_8.6 Rentabilité à terminaison_7 - Recommandations AQ" xfId="796" xr:uid="{00000000-0005-0000-0000-00001C030000}"/>
    <cellStyle name="H_Déf_8.6 Rentabilité à terminaison_99-2 Baseline Status (ECRs) (2)" xfId="797" xr:uid="{00000000-0005-0000-0000-00001D030000}"/>
    <cellStyle name="H_Déf_8.6 Rentabilité à terminaison_99-3 Formal IVV status (2)" xfId="798" xr:uid="{00000000-0005-0000-0000-00001E030000}"/>
    <cellStyle name="H_Déf_8.6 Rentabilité à terminaison_MAP-F-DAE-025-00-D" xfId="799" xr:uid="{00000000-0005-0000-0000-00001F030000}"/>
    <cellStyle name="H_Déf_8.6 Rentabilité à terminaison_MAP-F-DAE-025-00-D 2" xfId="800" xr:uid="{00000000-0005-0000-0000-000020030000}"/>
    <cellStyle name="H_Déf_8.6 Rentabilité à terminaison_MAP-F-DAE-025-00-D 2 2" xfId="801" xr:uid="{00000000-0005-0000-0000-000021030000}"/>
    <cellStyle name="H_Déf_8.6 Rentabilité à terminaison_MAP-S76-AVS-2010-04.new-xls" xfId="802" xr:uid="{00000000-0005-0000-0000-000022030000}"/>
    <cellStyle name="H_Déf_8.6 Rentabilité à terminaison_Nettoyage_fichier" xfId="803" xr:uid="{00000000-0005-0000-0000-000023030000}"/>
    <cellStyle name="H_Déf_8.6 Rentabilité à terminaison_Nettoyage_fichier 2" xfId="804" xr:uid="{00000000-0005-0000-0000-000024030000}"/>
    <cellStyle name="H_Déf_8.6 Rentabilité à terminaison_Nettoyage_fichier 2 2" xfId="805" xr:uid="{00000000-0005-0000-0000-000025030000}"/>
    <cellStyle name="H_Déf_8.6 Rentabilité à terminaison_TdB 30_04_2010 TASFR00580937AJ-1 THTH" xfId="806" xr:uid="{00000000-0005-0000-0000-000026030000}"/>
    <cellStyle name="H_Déf_8.6 Rentabilité à terminaison_TdB 30_04_2010 TASFR00580937AJ-1 THTH 2" xfId="807" xr:uid="{00000000-0005-0000-0000-000027030000}"/>
    <cellStyle name="H_Déf_8.6 Rentabilité à terminaison_tdb MAP CAM ATR42 NAV 08-00531-03" xfId="808" xr:uid="{00000000-0005-0000-0000-000028030000}"/>
    <cellStyle name="H_Déf_8.6 Rentabilité à terminaison_TdB-S76-CIS-2010-03 V38 Recup" xfId="809" xr:uid="{00000000-0005-0000-0000-000029030000}"/>
    <cellStyle name="H_Déf_9 Administration" xfId="810" xr:uid="{00000000-0005-0000-0000-00002A030000}"/>
    <cellStyle name="H_Déf_9 Administration_8.1 COP-CEP" xfId="811" xr:uid="{00000000-0005-0000-0000-00002B030000}"/>
    <cellStyle name="H_Déf_Copie de 2005_06_23_TdB RRJ-DG FINAL" xfId="812" xr:uid="{00000000-0005-0000-0000-00002C030000}"/>
    <cellStyle name="H_Déf_Copie de 2005_06_23_TdB RRJ-DG FINAL 2" xfId="813" xr:uid="{00000000-0005-0000-0000-00002D030000}"/>
    <cellStyle name="H_Déf_Copie de 2005_06_23_TdB RRJ-DG FINAL 2 2" xfId="814" xr:uid="{00000000-0005-0000-0000-00002E030000}"/>
    <cellStyle name="H_Déf_Copie de 2005_06_23_TdB RRJ-DG FINAL_1 - Fiche descriptive" xfId="815" xr:uid="{00000000-0005-0000-0000-00002F030000}"/>
    <cellStyle name="H_Déf_Copie de 2005_06_23_TdB RRJ-DG FINAL_5-Charges MO" xfId="816" xr:uid="{00000000-0005-0000-0000-000030030000}"/>
    <cellStyle name="H_Déf_Copie de 2005_06_23_TdB RRJ-DG FINAL_7 - Recommandations AQ" xfId="817" xr:uid="{00000000-0005-0000-0000-000031030000}"/>
    <cellStyle name="H_Déf_Copie de 2005_06_23_TdB RRJ-DG FINAL_99-2 Baseline Status (ECRs) (2)" xfId="818" xr:uid="{00000000-0005-0000-0000-000032030000}"/>
    <cellStyle name="H_Déf_Copie de 2005_06_23_TdB RRJ-DG FINAL_99-3 Formal IVV status (2)" xfId="819" xr:uid="{00000000-0005-0000-0000-000033030000}"/>
    <cellStyle name="H_Déf_Copie de 2005_06_23_TdB RRJ-DG FINAL_MAP-F-DAE-025-00-D" xfId="820" xr:uid="{00000000-0005-0000-0000-000034030000}"/>
    <cellStyle name="H_Déf_Copie de 2005_06_23_TdB RRJ-DG FINAL_MAP-F-DAE-025-00-D 2" xfId="821" xr:uid="{00000000-0005-0000-0000-000035030000}"/>
    <cellStyle name="H_Déf_Copie de 2005_06_23_TdB RRJ-DG FINAL_MAP-F-DAE-025-00-D 2 2" xfId="822" xr:uid="{00000000-0005-0000-0000-000036030000}"/>
    <cellStyle name="H_Déf_Copie de 2005_06_23_TdB RRJ-DG FINAL_MAP-S76-AVS-2010-04.new-xls" xfId="823" xr:uid="{00000000-0005-0000-0000-000037030000}"/>
    <cellStyle name="H_Déf_Copie de 2005_06_23_TdB RRJ-DG FINAL_Nettoyage_fichier" xfId="824" xr:uid="{00000000-0005-0000-0000-000038030000}"/>
    <cellStyle name="H_Déf_Copie de 2005_06_23_TdB RRJ-DG FINAL_Nettoyage_fichier 2" xfId="825" xr:uid="{00000000-0005-0000-0000-000039030000}"/>
    <cellStyle name="H_Déf_Copie de 2005_06_23_TdB RRJ-DG FINAL_Nettoyage_fichier 2 2" xfId="826" xr:uid="{00000000-0005-0000-0000-00003A030000}"/>
    <cellStyle name="H_Déf_Copie de 2005_06_23_TdB RRJ-DG FINAL_TdB 30_04_2010 TASFR00580937AJ-1 THTH" xfId="827" xr:uid="{00000000-0005-0000-0000-00003B030000}"/>
    <cellStyle name="H_Déf_Copie de 2005_06_23_TdB RRJ-DG FINAL_TdB 30_04_2010 TASFR00580937AJ-1 THTH 2" xfId="828" xr:uid="{00000000-0005-0000-0000-00003C030000}"/>
    <cellStyle name="H_Déf_Copie de 2005_06_23_TdB RRJ-DG FINAL_tdb MAP CAM ATR42 NAV 08-00531-03" xfId="829" xr:uid="{00000000-0005-0000-0000-00003D030000}"/>
    <cellStyle name="H_Déf_Copie de 2005_06_23_TdB RRJ-DG FINAL_TdB-S76-CIS-2010-03 V38 Recup" xfId="830" xr:uid="{00000000-0005-0000-0000-00003E030000}"/>
    <cellStyle name="H_Déf_DOR C130 map-f-dae-008-fr NAV-08-003164-02 Octobre 2008" xfId="831" xr:uid="{00000000-0005-0000-0000-00003F030000}"/>
    <cellStyle name="H_Déf_DOR FdLIndus RDR -A_V2" xfId="832" xr:uid="{00000000-0005-0000-0000-000040030000}"/>
    <cellStyle name="H_Déf_DOR Integ EAA RC - NRC" xfId="833" xr:uid="{00000000-0005-0000-0000-000041030000}"/>
    <cellStyle name="H_Déf_DOR map-f-dae-008-fr NAV-08-003255-01 Aout 2008" xfId="834" xr:uid="{00000000-0005-0000-0000-000042030000}"/>
    <cellStyle name="H_Déf_DOR Meltem3-ir00" xfId="835" xr:uid="{00000000-0005-0000-0000-000043030000}"/>
    <cellStyle name="H_Déf_DOR RPU-PBU FREMM-SNA 0605 partie I2M SAN-2" xfId="836" xr:uid="{00000000-0005-0000-0000-000044030000}"/>
    <cellStyle name="H_Déf_DOR RPU-PBU FREMM-SNA partie I2M SAN-3 080702" xfId="837" xr:uid="{00000000-0005-0000-0000-000045030000}"/>
    <cellStyle name="H_Déf_DOR SYNTHESE Fremm" xfId="838" xr:uid="{00000000-0005-0000-0000-000046030000}"/>
    <cellStyle name="H_Déf_DOR_1erSerie" xfId="839" xr:uid="{00000000-0005-0000-0000-000047030000}"/>
    <cellStyle name="H_Déf_DOR_EAA7" xfId="840" xr:uid="{00000000-0005-0000-0000-000048030000}"/>
    <cellStyle name="H_Déf_DOR_EAA7_jv08" xfId="841" xr:uid="{00000000-0005-0000-0000-000049030000}"/>
    <cellStyle name="H_Déf_DOR_EAA7_nov07" xfId="842" xr:uid="{00000000-0005-0000-0000-00004A030000}"/>
    <cellStyle name="H_Déf_DOR_EAA7_nov08" xfId="843" xr:uid="{00000000-0005-0000-0000-00004B030000}"/>
    <cellStyle name="H_Déf_DOR_EPS-synthese_EPS-IS et EPTS-Mars 09" xfId="844" xr:uid="{00000000-0005-0000-0000-00004C030000}"/>
    <cellStyle name="H_Déf_DOR_EPTS-synthese programme-Mai 08" xfId="845" xr:uid="{00000000-0005-0000-0000-00004D030000}"/>
    <cellStyle name="H_Déf_DOR_EPTS-synthese-Juillet 08" xfId="846" xr:uid="{00000000-0005-0000-0000-00004E030000}"/>
    <cellStyle name="H_Déf_DOR_EPTS-synthese-Juin 08" xfId="847" xr:uid="{00000000-0005-0000-0000-00004F030000}"/>
    <cellStyle name="H_Déf_DOR_EPTS-synthese-Mai 08" xfId="848" xr:uid="{00000000-0005-0000-0000-000050030000}"/>
    <cellStyle name="H_Déf_DOR_EPTS-synthese-Octobre 08" xfId="849" xr:uid="{00000000-0005-0000-0000-000051030000}"/>
    <cellStyle name="H_Déf_DOR_EPTS-synthese-Septembre 08" xfId="850" xr:uid="{00000000-0005-0000-0000-000052030000}"/>
    <cellStyle name="H_Déf_DOR_ETS-synthese_EPS-IS et EPTS-Janvier 09" xfId="851" xr:uid="{00000000-0005-0000-0000-000053030000}"/>
    <cellStyle name="H_Déf_DOR_indusRdR_nov08" xfId="852" xr:uid="{00000000-0005-0000-0000-000054030000}"/>
    <cellStyle name="H_Déf_DOR_indusRdR_STR" xfId="853" xr:uid="{00000000-0005-0000-0000-000055030000}"/>
    <cellStyle name="H_Déf_DOR_indusRdR_STR_jv08" xfId="854" xr:uid="{00000000-0005-0000-0000-000056030000}"/>
    <cellStyle name="H_Déf_DOR_TASFR00584242-" xfId="855" xr:uid="{00000000-0005-0000-0000-000057030000}"/>
    <cellStyle name="H_Déf_DORV5.1-2.5-EWS-Jan 08_280108" xfId="856" xr:uid="{00000000-0005-0000-0000-000058030000}"/>
    <cellStyle name="H_Déf_IBPM gAC limite 2 feuilles" xfId="857" xr:uid="{00000000-0005-0000-0000-000059030000}"/>
    <cellStyle name="H_Déf_IBPM gAC limite 2 feuilles 2" xfId="858" xr:uid="{00000000-0005-0000-0000-00005A030000}"/>
    <cellStyle name="H_Déf_IBPM gAC limite 2 feuilles 2 2" xfId="859" xr:uid="{00000000-0005-0000-0000-00005B030000}"/>
    <cellStyle name="H_Déf_IBPM gAC limite 2 feuilles_1 - Fiche descriptive" xfId="860" xr:uid="{00000000-0005-0000-0000-00005C030000}"/>
    <cellStyle name="H_Déf_IBPM gAC limite 2 feuilles_5-Charges MO" xfId="861" xr:uid="{00000000-0005-0000-0000-00005D030000}"/>
    <cellStyle name="H_Déf_IBPM gAC limite 2 feuilles_7 - Recommandations AQ" xfId="862" xr:uid="{00000000-0005-0000-0000-00005E030000}"/>
    <cellStyle name="H_Déf_IBPM gAC limite 2 feuilles_99-2 Baseline Status (ECRs) (2)" xfId="863" xr:uid="{00000000-0005-0000-0000-00005F030000}"/>
    <cellStyle name="H_Déf_IBPM gAC limite 2 feuilles_99-3 Formal IVV status (2)" xfId="864" xr:uid="{00000000-0005-0000-0000-000060030000}"/>
    <cellStyle name="H_Déf_IBPM gAC limite 2 feuilles_MAP-F-DAE-025-00-D" xfId="865" xr:uid="{00000000-0005-0000-0000-000061030000}"/>
    <cellStyle name="H_Déf_IBPM gAC limite 2 feuilles_MAP-F-DAE-025-00-D 2" xfId="866" xr:uid="{00000000-0005-0000-0000-000062030000}"/>
    <cellStyle name="H_Déf_IBPM gAC limite 2 feuilles_MAP-F-DAE-025-00-D 2 2" xfId="867" xr:uid="{00000000-0005-0000-0000-000063030000}"/>
    <cellStyle name="H_Déf_IBPM gAC limite 2 feuilles_MAP-S76-AVS-2010-04.new-xls" xfId="868" xr:uid="{00000000-0005-0000-0000-000064030000}"/>
    <cellStyle name="H_Déf_IBPM gAC limite 2 feuilles_Nettoyage_fichier" xfId="869" xr:uid="{00000000-0005-0000-0000-000065030000}"/>
    <cellStyle name="H_Déf_IBPM gAC limite 2 feuilles_Nettoyage_fichier 2" xfId="870" xr:uid="{00000000-0005-0000-0000-000066030000}"/>
    <cellStyle name="H_Déf_IBPM gAC limite 2 feuilles_Nettoyage_fichier 2 2" xfId="871" xr:uid="{00000000-0005-0000-0000-000067030000}"/>
    <cellStyle name="H_Déf_IBPM gAC limite 2 feuilles_TdB 30_04_2010 TASFR00580937AJ-1 THTH" xfId="872" xr:uid="{00000000-0005-0000-0000-000068030000}"/>
    <cellStyle name="H_Déf_IBPM gAC limite 2 feuilles_TdB 30_04_2010 TASFR00580937AJ-1 THTH 2" xfId="873" xr:uid="{00000000-0005-0000-0000-000069030000}"/>
    <cellStyle name="H_Déf_IBPM gAC limite 2 feuilles_TdB-S76-CIS-2010-03 V38 Recup" xfId="874" xr:uid="{00000000-0005-0000-0000-00006A030000}"/>
    <cellStyle name="H_Déf_LINKS_CLEANUP_17" xfId="875" xr:uid="{00000000-0005-0000-0000-00006B030000}"/>
    <cellStyle name="H_Déf_Log Risk" xfId="876" xr:uid="{00000000-0005-0000-0000-00006C030000}"/>
    <cellStyle name="H_Déf_MAP-F-DAE-005-XX_08" xfId="877" xr:uid="{00000000-0005-0000-0000-00006D030000}"/>
    <cellStyle name="H_Déf_MAP-F-DAE-008-F_03 (DOR_V5_2)_PertMaster" xfId="878" xr:uid="{00000000-0005-0000-0000-00006E030000}"/>
    <cellStyle name="H_Déf_Onglets_R_O_TDB_New" xfId="879" xr:uid="{00000000-0005-0000-0000-00006F030000}"/>
    <cellStyle name="H_Déf_P3E_DAE_DASHBOARD_MODULE_V2_12" xfId="880" xr:uid="{00000000-0005-0000-0000-000070030000}"/>
    <cellStyle name="H_Déf_Page de garde" xfId="881" xr:uid="{00000000-0005-0000-0000-000071030000}"/>
    <cellStyle name="H_Déf_Page de garde_ATA_08_4098_DIS-TdB_MAS FSTA _sept_11_ind00" xfId="882" xr:uid="{00000000-0005-0000-0000-000072030000}"/>
    <cellStyle name="H_Déf_RRJ WP4.2 Progress Report-2006-06 IR 04" xfId="883" xr:uid="{00000000-0005-0000-0000-000073030000}"/>
    <cellStyle name="H_Déf_RRJ WP4.2 Progress Report-2006-07 IR 00" xfId="884" xr:uid="{00000000-0005-0000-0000-000074030000}"/>
    <cellStyle name="H_Déf_TdB_FMS2_2006_11_28_MRTT part 1.XLS Graphique 7" xfId="885" xr:uid="{00000000-0005-0000-0000-000075030000}"/>
    <cellStyle name="H_Déf_TdB_FMS2_2006_11_28_MRTT part 1.XLS Graphique 7 2" xfId="886" xr:uid="{00000000-0005-0000-0000-000076030000}"/>
    <cellStyle name="H_Déf_TdB_FMS2_2006_11_28_MRTT part 1.XLS Graphique 7 2 2" xfId="887" xr:uid="{00000000-0005-0000-0000-000077030000}"/>
    <cellStyle name="H_Déf_TdB_FMS2_2006_11_28_MRTT part 1.XLS Graphique 7_1 - Fiche descriptive" xfId="888" xr:uid="{00000000-0005-0000-0000-000078030000}"/>
    <cellStyle name="H_Déf_TdB_FMS2_2006_11_28_MRTT part 1.XLS Graphique 7_5-Charges MO" xfId="889" xr:uid="{00000000-0005-0000-0000-000079030000}"/>
    <cellStyle name="H_Déf_TdB_FMS2_2006_11_28_MRTT part 1.XLS Graphique 7_7 - Recommandations AQ" xfId="890" xr:uid="{00000000-0005-0000-0000-00007A030000}"/>
    <cellStyle name="H_Déf_TdB_FMS2_2006_11_28_MRTT part 1.XLS Graphique 7_99-2 Baseline Status (ECRs) (2)" xfId="891" xr:uid="{00000000-0005-0000-0000-00007B030000}"/>
    <cellStyle name="H_Déf_TdB_FMS2_2006_11_28_MRTT part 1.XLS Graphique 7_99-3 Formal IVV status (2)" xfId="892" xr:uid="{00000000-0005-0000-0000-00007C030000}"/>
    <cellStyle name="H_Déf_TdB_FMS2_2006_11_28_MRTT part 1.XLS Graphique 7_MAP-F-DAE-025-00-D" xfId="893" xr:uid="{00000000-0005-0000-0000-00007D030000}"/>
    <cellStyle name="H_Déf_TdB_FMS2_2006_11_28_MRTT part 1.XLS Graphique 7_MAP-F-DAE-025-00-D 2" xfId="894" xr:uid="{00000000-0005-0000-0000-00007E030000}"/>
    <cellStyle name="H_Déf_TdB_FMS2_2006_11_28_MRTT part 1.XLS Graphique 7_MAP-F-DAE-025-00-D 2 2" xfId="895" xr:uid="{00000000-0005-0000-0000-00007F030000}"/>
    <cellStyle name="H_Déf_TdB_FMS2_2006_11_28_MRTT part 1.XLS Graphique 7_MAP-S76-AVS-2010-04.new-xls" xfId="896" xr:uid="{00000000-0005-0000-0000-000080030000}"/>
    <cellStyle name="H_Déf_TdB_FMS2_2006_11_28_MRTT part 1.XLS Graphique 7_Nettoyage_fichier" xfId="897" xr:uid="{00000000-0005-0000-0000-000081030000}"/>
    <cellStyle name="H_Déf_TdB_FMS2_2006_11_28_MRTT part 1.XLS Graphique 7_Nettoyage_fichier 2" xfId="898" xr:uid="{00000000-0005-0000-0000-000082030000}"/>
    <cellStyle name="H_Déf_TdB_FMS2_2006_11_28_MRTT part 1.XLS Graphique 7_Nettoyage_fichier 2 2" xfId="899" xr:uid="{00000000-0005-0000-0000-000083030000}"/>
    <cellStyle name="H_Déf_TdB_FMS2_2006_11_28_MRTT part 1.XLS Graphique 7_TdB 30_04_2010 TASFR00580937AJ-1 THTH" xfId="900" xr:uid="{00000000-0005-0000-0000-000084030000}"/>
    <cellStyle name="H_Déf_TdB_FMS2_2006_11_28_MRTT part 1.XLS Graphique 7_TdB 30_04_2010 TASFR00580937AJ-1 THTH 2" xfId="901" xr:uid="{00000000-0005-0000-0000-000085030000}"/>
    <cellStyle name="H_Déf_TdB_FMS2_2006_11_28_MRTT part 1.XLS Graphique 7_TdB-S76-CIS-2010-03 V38 Recup" xfId="902" xr:uid="{00000000-0005-0000-0000-000086030000}"/>
    <cellStyle name="Heading 1" xfId="903" xr:uid="{00000000-0005-0000-0000-000087030000}"/>
    <cellStyle name="Heading 2" xfId="904" xr:uid="{00000000-0005-0000-0000-000088030000}"/>
    <cellStyle name="Heading 3" xfId="905" xr:uid="{00000000-0005-0000-0000-000089030000}"/>
    <cellStyle name="Heading 4" xfId="906" xr:uid="{00000000-0005-0000-0000-00008A030000}"/>
    <cellStyle name="Here" xfId="907" xr:uid="{00000000-0005-0000-0000-00008B030000}"/>
    <cellStyle name="Here 2" xfId="908" xr:uid="{00000000-0005-0000-0000-00008C030000}"/>
    <cellStyle name="Here 2 2" xfId="909" xr:uid="{00000000-0005-0000-0000-00008D030000}"/>
    <cellStyle name="Here_1 - Fiche descriptive" xfId="910" xr:uid="{00000000-0005-0000-0000-00008E030000}"/>
    <cellStyle name="Hyperlink" xfId="911" xr:uid="{00000000-0005-0000-0000-00008F030000}"/>
    <cellStyle name="Hyperlink 2" xfId="912" xr:uid="{00000000-0005-0000-0000-000090030000}"/>
    <cellStyle name="Hyperlink 2 2" xfId="913" xr:uid="{00000000-0005-0000-0000-000091030000}"/>
    <cellStyle name="Hyperlink_1 - Fiche descriptive" xfId="914" xr:uid="{00000000-0005-0000-0000-000092030000}"/>
    <cellStyle name="Input" xfId="915" xr:uid="{00000000-0005-0000-0000-000093030000}"/>
    <cellStyle name="Insatisfaisant 2" xfId="917" xr:uid="{00000000-0005-0000-0000-000095030000}"/>
    <cellStyle name="item" xfId="918" xr:uid="{00000000-0005-0000-0000-000096030000}"/>
    <cellStyle name="item 2" xfId="919" xr:uid="{00000000-0005-0000-0000-000097030000}"/>
    <cellStyle name="item 2 2" xfId="920" xr:uid="{00000000-0005-0000-0000-000098030000}"/>
    <cellStyle name="item 3" xfId="921" xr:uid="{00000000-0005-0000-0000-000099030000}"/>
    <cellStyle name="item_1 - Fiche descriptive" xfId="922" xr:uid="{00000000-0005-0000-0000-00009A030000}"/>
    <cellStyle name="keuros" xfId="923" xr:uid="{00000000-0005-0000-0000-00009B030000}"/>
    <cellStyle name="l1" xfId="924" xr:uid="{00000000-0005-0000-0000-00009C030000}"/>
    <cellStyle name="l1 2" xfId="925" xr:uid="{00000000-0005-0000-0000-00009D030000}"/>
    <cellStyle name="l1_1 - Fiche descriptive" xfId="926" xr:uid="{00000000-0005-0000-0000-00009E030000}"/>
    <cellStyle name="l2" xfId="927" xr:uid="{00000000-0005-0000-0000-00009F030000}"/>
    <cellStyle name="l3" xfId="928" xr:uid="{00000000-0005-0000-0000-0000A0030000}"/>
    <cellStyle name="l4" xfId="929" xr:uid="{00000000-0005-0000-0000-0000A1030000}"/>
    <cellStyle name="l4 2" xfId="930" xr:uid="{00000000-0005-0000-0000-0000A2030000}"/>
    <cellStyle name="l4 2 2" xfId="931" xr:uid="{00000000-0005-0000-0000-0000A3030000}"/>
    <cellStyle name="l4_1 - Fiche descriptive" xfId="932" xr:uid="{00000000-0005-0000-0000-0000A4030000}"/>
    <cellStyle name="l5" xfId="933" xr:uid="{00000000-0005-0000-0000-0000A5030000}"/>
    <cellStyle name="l5 2" xfId="934" xr:uid="{00000000-0005-0000-0000-0000A6030000}"/>
    <cellStyle name="l5 2 2" xfId="935" xr:uid="{00000000-0005-0000-0000-0000A7030000}"/>
    <cellStyle name="l5_1 - Fiche descriptive" xfId="936" xr:uid="{00000000-0005-0000-0000-0000A8030000}"/>
    <cellStyle name="Lien hypertexte 2" xfId="937" xr:uid="{00000000-0005-0000-0000-0000A9030000}"/>
    <cellStyle name="Lien hypertexte 2 2" xfId="938" xr:uid="{00000000-0005-0000-0000-0000AA030000}"/>
    <cellStyle name="Lien hypertexte 3" xfId="939" xr:uid="{00000000-0005-0000-0000-0000AB030000}"/>
    <cellStyle name="Lien hypertexte 3 2" xfId="940" xr:uid="{00000000-0005-0000-0000-0000AC030000}"/>
    <cellStyle name="Lien hypertexte 4" xfId="941" xr:uid="{00000000-0005-0000-0000-0000AD030000}"/>
    <cellStyle name="Lien hypertexte 5" xfId="942" xr:uid="{00000000-0005-0000-0000-0000AE030000}"/>
    <cellStyle name="Lien hypertexte 6" xfId="943" xr:uid="{00000000-0005-0000-0000-0000AF030000}"/>
    <cellStyle name="Lien_x0018_hypertexte" xfId="944" xr:uid="{00000000-0005-0000-0000-0000B0030000}"/>
    <cellStyle name="Lien_x0018_hypertexte 2" xfId="945" xr:uid="{00000000-0005-0000-0000-0000B1030000}"/>
    <cellStyle name="Linked Cell" xfId="946" xr:uid="{00000000-0005-0000-0000-0000B2030000}"/>
    <cellStyle name="Masqué" xfId="947" xr:uid="{00000000-0005-0000-0000-0000B3030000}"/>
    <cellStyle name="Masqué 2" xfId="948" xr:uid="{00000000-0005-0000-0000-0000B4030000}"/>
    <cellStyle name="Masqué 2 2" xfId="949" xr:uid="{00000000-0005-0000-0000-0000B5030000}"/>
    <cellStyle name="Masqué 3" xfId="950" xr:uid="{00000000-0005-0000-0000-0000B6030000}"/>
    <cellStyle name="Masqué 3 2" xfId="951" xr:uid="{00000000-0005-0000-0000-0000B7030000}"/>
    <cellStyle name="Masqué 4" xfId="952" xr:uid="{00000000-0005-0000-0000-0000B8030000}"/>
    <cellStyle name="Masqué_1 - Fiche descriptive" xfId="953" xr:uid="{00000000-0005-0000-0000-0000B9030000}"/>
    <cellStyle name="money" xfId="954" xr:uid="{00000000-0005-0000-0000-0000BA030000}"/>
    <cellStyle name="money 2" xfId="955" xr:uid="{00000000-0005-0000-0000-0000BB030000}"/>
    <cellStyle name="money 2 2" xfId="956" xr:uid="{00000000-0005-0000-0000-0000BC030000}"/>
    <cellStyle name="money 3" xfId="957" xr:uid="{00000000-0005-0000-0000-0000BD030000}"/>
    <cellStyle name="money_1 - Fiche descriptive" xfId="958" xr:uid="{00000000-0005-0000-0000-0000BE030000}"/>
    <cellStyle name="Neutral" xfId="959" xr:uid="{00000000-0005-0000-0000-0000BF030000}"/>
    <cellStyle name="Neutre 2" xfId="960" xr:uid="{00000000-0005-0000-0000-0000C0030000}"/>
    <cellStyle name="NEW_equipement" xfId="961" xr:uid="{00000000-0005-0000-0000-0000C1030000}"/>
    <cellStyle name="Niveau_1" xfId="962" xr:uid="{00000000-0005-0000-0000-0000C2030000}"/>
    <cellStyle name="Noeud" xfId="963" xr:uid="{00000000-0005-0000-0000-0000C3030000}"/>
    <cellStyle name="Nom Doc" xfId="964" xr:uid="{00000000-0005-0000-0000-0000C4030000}"/>
    <cellStyle name="nombre" xfId="965" xr:uid="{00000000-0005-0000-0000-0000C5030000}"/>
    <cellStyle name="nombre 2" xfId="966" xr:uid="{00000000-0005-0000-0000-0000C6030000}"/>
    <cellStyle name="nombre_1 - Fiche descriptive" xfId="967" xr:uid="{00000000-0005-0000-0000-0000C7030000}"/>
    <cellStyle name="Noms" xfId="968" xr:uid="{00000000-0005-0000-0000-0000C8030000}"/>
    <cellStyle name="Non défini" xfId="969" xr:uid="{00000000-0005-0000-0000-0000C9030000}"/>
    <cellStyle name="Non défini 2" xfId="970" xr:uid="{00000000-0005-0000-0000-0000CA030000}"/>
    <cellStyle name="Non défini 2 2" xfId="971" xr:uid="{00000000-0005-0000-0000-0000CB030000}"/>
    <cellStyle name="Non défini_1 - Fiche descriptive" xfId="972" xr:uid="{00000000-0005-0000-0000-0000CC030000}"/>
    <cellStyle name="Non modifiable" xfId="973" xr:uid="{00000000-0005-0000-0000-0000CD030000}"/>
    <cellStyle name="Non modifiable 2" xfId="974" xr:uid="{00000000-0005-0000-0000-0000CE030000}"/>
    <cellStyle name="Non modifiable 2 2" xfId="975" xr:uid="{00000000-0005-0000-0000-0000CF030000}"/>
    <cellStyle name="Non modifiable 3" xfId="976" xr:uid="{00000000-0005-0000-0000-0000D0030000}"/>
    <cellStyle name="Non modifiable 3 2" xfId="977" xr:uid="{00000000-0005-0000-0000-0000D1030000}"/>
    <cellStyle name="Non modifiable 4" xfId="978" xr:uid="{00000000-0005-0000-0000-0000D2030000}"/>
    <cellStyle name="Normal 2" xfId="979" xr:uid="{00000000-0005-0000-0000-0000D4030000}"/>
    <cellStyle name="Normal 2 2" xfId="980" xr:uid="{00000000-0005-0000-0000-0000D5030000}"/>
    <cellStyle name="Normal 2 2 2" xfId="981" xr:uid="{00000000-0005-0000-0000-0000D6030000}"/>
    <cellStyle name="Normal 2 3" xfId="982" xr:uid="{00000000-0005-0000-0000-0000D7030000}"/>
    <cellStyle name="Normal 3" xfId="983" xr:uid="{00000000-0005-0000-0000-0000D8030000}"/>
    <cellStyle name="Normal 3 2" xfId="984" xr:uid="{00000000-0005-0000-0000-0000D9030000}"/>
    <cellStyle name="Normal 4" xfId="985" xr:uid="{00000000-0005-0000-0000-0000DA030000}"/>
    <cellStyle name="Normal 5" xfId="986" xr:uid="{00000000-0005-0000-0000-0000DB030000}"/>
    <cellStyle name="Normal 97" xfId="987" xr:uid="{00000000-0005-0000-0000-0000DC030000}"/>
    <cellStyle name="Normal_2 - Evènements clés 2" xfId="988" xr:uid="{00000000-0005-0000-0000-0000DD030000}"/>
    <cellStyle name="Normal_87201044-MGPR-GRP-EN-Draft002-Project_reporting_template_b_20110121" xfId="989" xr:uid="{00000000-0005-0000-0000-0000DE030000}"/>
    <cellStyle name="Normal_87201044-MGPR-GRP-EN-Draft002-Project_reporting_template_b_20110121 2" xfId="990" xr:uid="{00000000-0005-0000-0000-0000DF030000}"/>
    <cellStyle name="Normal_Maquette_TDB4" xfId="991" xr:uid="{00000000-0005-0000-0000-0000E0030000}"/>
    <cellStyle name="Normal_Maquette_TDB4 2" xfId="992" xr:uid="{00000000-0005-0000-0000-0000E1030000}"/>
    <cellStyle name="Normal_Project reporting template-87201044-MGPR-GRP-EN- 2" xfId="993" xr:uid="{00000000-0005-0000-0000-0000E2030000}"/>
    <cellStyle name="Normal_Solution_Monitoring_Dashboard_File 2" xfId="994" xr:uid="{00000000-0005-0000-0000-0000E3030000}"/>
    <cellStyle name="Note" xfId="995" xr:uid="{00000000-0005-0000-0000-0000E4030000}"/>
    <cellStyle name="Notiz" xfId="279" builtinId="10" customBuiltin="1"/>
    <cellStyle name="obsolete" xfId="996" xr:uid="{00000000-0005-0000-0000-0000E5030000}"/>
    <cellStyle name="one" xfId="997" xr:uid="{00000000-0005-0000-0000-0000E6030000}"/>
    <cellStyle name="Output" xfId="998" xr:uid="{00000000-0005-0000-0000-0000E7030000}"/>
    <cellStyle name="pepin" xfId="999" xr:uid="{00000000-0005-0000-0000-0000E8030000}"/>
    <cellStyle name="pepin 2" xfId="1000" xr:uid="{00000000-0005-0000-0000-0000E9030000}"/>
    <cellStyle name="pepin_1 - Fiche descriptive" xfId="1001" xr:uid="{00000000-0005-0000-0000-0000EA030000}"/>
    <cellStyle name="Percent_ARRC-654-PRP V2.1 ARRC Programme Review Pack" xfId="1002" xr:uid="{00000000-0005-0000-0000-0000EB030000}"/>
    <cellStyle name="Pound" xfId="1003" xr:uid="{00000000-0005-0000-0000-0000EC030000}"/>
    <cellStyle name="Pound 2" xfId="1004" xr:uid="{00000000-0005-0000-0000-0000ED030000}"/>
    <cellStyle name="Pound 2 2" xfId="1005" xr:uid="{00000000-0005-0000-0000-0000EE030000}"/>
    <cellStyle name="Pound 3" xfId="1006" xr:uid="{00000000-0005-0000-0000-0000EF030000}"/>
    <cellStyle name="Pound_1 - Fiche descriptive" xfId="1007" xr:uid="{00000000-0005-0000-0000-0000F0030000}"/>
    <cellStyle name="Pound12" xfId="1008" xr:uid="{00000000-0005-0000-0000-0000F1030000}"/>
    <cellStyle name="Pourcentage 2" xfId="1009" xr:uid="{00000000-0005-0000-0000-0000F2030000}"/>
    <cellStyle name="Pourcentage 2 2" xfId="1010" xr:uid="{00000000-0005-0000-0000-0000F3030000}"/>
    <cellStyle name="Pourcentage 3" xfId="1011" xr:uid="{00000000-0005-0000-0000-0000F4030000}"/>
    <cellStyle name="Pourcentage 4" xfId="1012" xr:uid="{00000000-0005-0000-0000-0000F5030000}"/>
    <cellStyle name="Pourcentage 5" xfId="1013" xr:uid="{00000000-0005-0000-0000-0000F6030000}"/>
    <cellStyle name="Pourcentage 5 2" xfId="1014" xr:uid="{00000000-0005-0000-0000-0000F7030000}"/>
    <cellStyle name="Pourcentage entier" xfId="1015" xr:uid="{00000000-0005-0000-0000-0000F8030000}"/>
    <cellStyle name="PSChar" xfId="1016" xr:uid="{00000000-0005-0000-0000-0000F9030000}"/>
    <cellStyle name="PSChar 2" xfId="1017" xr:uid="{00000000-0005-0000-0000-0000FA030000}"/>
    <cellStyle name="PSChar 2 2" xfId="1018" xr:uid="{00000000-0005-0000-0000-0000FB030000}"/>
    <cellStyle name="PSDate" xfId="1019" xr:uid="{00000000-0005-0000-0000-0000FC030000}"/>
    <cellStyle name="PSDate 2" xfId="1020" xr:uid="{00000000-0005-0000-0000-0000FD030000}"/>
    <cellStyle name="PSDate 2 2" xfId="1021" xr:uid="{00000000-0005-0000-0000-0000FE030000}"/>
    <cellStyle name="PSDec" xfId="1022" xr:uid="{00000000-0005-0000-0000-0000FF030000}"/>
    <cellStyle name="PSDec 2" xfId="1023" xr:uid="{00000000-0005-0000-0000-000000040000}"/>
    <cellStyle name="PSDec 2 2" xfId="1024" xr:uid="{00000000-0005-0000-0000-000001040000}"/>
    <cellStyle name="PSHeading" xfId="1025" xr:uid="{00000000-0005-0000-0000-000002040000}"/>
    <cellStyle name="PSHeading 2" xfId="1026" xr:uid="{00000000-0005-0000-0000-000003040000}"/>
    <cellStyle name="PSHeading 2 2" xfId="1027" xr:uid="{00000000-0005-0000-0000-000004040000}"/>
    <cellStyle name="PSHeading_1 - Fiche descriptive" xfId="1028" xr:uid="{00000000-0005-0000-0000-000005040000}"/>
    <cellStyle name="PSInt" xfId="1029" xr:uid="{00000000-0005-0000-0000-000006040000}"/>
    <cellStyle name="PSInt 2" xfId="1030" xr:uid="{00000000-0005-0000-0000-000007040000}"/>
    <cellStyle name="PSInt 2 2" xfId="1031" xr:uid="{00000000-0005-0000-0000-000008040000}"/>
    <cellStyle name="PSSpacer" xfId="1032" xr:uid="{00000000-0005-0000-0000-000009040000}"/>
    <cellStyle name="PSSpacer 2" xfId="1033" xr:uid="{00000000-0005-0000-0000-00000A040000}"/>
    <cellStyle name="PSSpacer 2 2" xfId="1034" xr:uid="{00000000-0005-0000-0000-00000B040000}"/>
    <cellStyle name="Qty" xfId="1035" xr:uid="{00000000-0005-0000-0000-00000C040000}"/>
    <cellStyle name="Qty 2" xfId="1036" xr:uid="{00000000-0005-0000-0000-00000D040000}"/>
    <cellStyle name="Qty 2 2" xfId="1037" xr:uid="{00000000-0005-0000-0000-00000E040000}"/>
    <cellStyle name="Qty 3" xfId="1038" xr:uid="{00000000-0005-0000-0000-00000F040000}"/>
    <cellStyle name="Qty_1 - Fiche descriptive" xfId="1039" xr:uid="{00000000-0005-0000-0000-000010040000}"/>
    <cellStyle name="Réduction" xfId="1040" xr:uid="{00000000-0005-0000-0000-000011040000}"/>
    <cellStyle name="SAPBEXaggData" xfId="1041" xr:uid="{00000000-0005-0000-0000-000012040000}"/>
    <cellStyle name="SAPBEXaggData 2" xfId="1042" xr:uid="{00000000-0005-0000-0000-000013040000}"/>
    <cellStyle name="SAPBEXaggData 2 2" xfId="1043" xr:uid="{00000000-0005-0000-0000-000014040000}"/>
    <cellStyle name="SAPBEXaggData_1 - Fiche descriptive" xfId="1044" xr:uid="{00000000-0005-0000-0000-000015040000}"/>
    <cellStyle name="SAPBEXaggDataEmph" xfId="1045" xr:uid="{00000000-0005-0000-0000-000016040000}"/>
    <cellStyle name="SAPBEXaggDataEmph 2" xfId="1046" xr:uid="{00000000-0005-0000-0000-000017040000}"/>
    <cellStyle name="SAPBEXaggDataEmph 2 2" xfId="1047" xr:uid="{00000000-0005-0000-0000-000018040000}"/>
    <cellStyle name="SAPBEXaggDataEmph_1 - Fiche descriptive" xfId="1048" xr:uid="{00000000-0005-0000-0000-000019040000}"/>
    <cellStyle name="SAPBEXaggItem" xfId="1049" xr:uid="{00000000-0005-0000-0000-00001A040000}"/>
    <cellStyle name="SAPBEXaggItem 2" xfId="1050" xr:uid="{00000000-0005-0000-0000-00001B040000}"/>
    <cellStyle name="SAPBEXaggItem 2 2" xfId="1051" xr:uid="{00000000-0005-0000-0000-00001C040000}"/>
    <cellStyle name="SAPBEXaggItem_1 - Fiche descriptive" xfId="1052" xr:uid="{00000000-0005-0000-0000-00001D040000}"/>
    <cellStyle name="SAPBEXchaText" xfId="1053" xr:uid="{00000000-0005-0000-0000-00001E040000}"/>
    <cellStyle name="SAPBEXchaText 2" xfId="1054" xr:uid="{00000000-0005-0000-0000-00001F040000}"/>
    <cellStyle name="SAPBEXchaText 2 2" xfId="1055" xr:uid="{00000000-0005-0000-0000-000020040000}"/>
    <cellStyle name="SAPBEXchaText_1 - Fiche descriptive" xfId="1056" xr:uid="{00000000-0005-0000-0000-000021040000}"/>
    <cellStyle name="SAPBEXexcBad7" xfId="1057" xr:uid="{00000000-0005-0000-0000-000022040000}"/>
    <cellStyle name="SAPBEXexcBad7 2" xfId="1058" xr:uid="{00000000-0005-0000-0000-000023040000}"/>
    <cellStyle name="SAPBEXexcBad7 2 2" xfId="1059" xr:uid="{00000000-0005-0000-0000-000024040000}"/>
    <cellStyle name="SAPBEXexcBad7_1 - Fiche descriptive" xfId="1060" xr:uid="{00000000-0005-0000-0000-000025040000}"/>
    <cellStyle name="SAPBEXexcBad8" xfId="1061" xr:uid="{00000000-0005-0000-0000-000026040000}"/>
    <cellStyle name="SAPBEXexcBad8 2" xfId="1062" xr:uid="{00000000-0005-0000-0000-000027040000}"/>
    <cellStyle name="SAPBEXexcBad8 2 2" xfId="1063" xr:uid="{00000000-0005-0000-0000-000028040000}"/>
    <cellStyle name="SAPBEXexcBad8_1 - Fiche descriptive" xfId="1064" xr:uid="{00000000-0005-0000-0000-000029040000}"/>
    <cellStyle name="SAPBEXexcBad9" xfId="1065" xr:uid="{00000000-0005-0000-0000-00002A040000}"/>
    <cellStyle name="SAPBEXexcBad9 2" xfId="1066" xr:uid="{00000000-0005-0000-0000-00002B040000}"/>
    <cellStyle name="SAPBEXexcBad9 2 2" xfId="1067" xr:uid="{00000000-0005-0000-0000-00002C040000}"/>
    <cellStyle name="SAPBEXexcBad9_1 - Fiche descriptive" xfId="1068" xr:uid="{00000000-0005-0000-0000-00002D040000}"/>
    <cellStyle name="SAPBEXexcCritical4" xfId="1069" xr:uid="{00000000-0005-0000-0000-00002E040000}"/>
    <cellStyle name="SAPBEXexcCritical4 2" xfId="1070" xr:uid="{00000000-0005-0000-0000-00002F040000}"/>
    <cellStyle name="SAPBEXexcCritical4 2 2" xfId="1071" xr:uid="{00000000-0005-0000-0000-000030040000}"/>
    <cellStyle name="SAPBEXexcCritical4_1 - Fiche descriptive" xfId="1072" xr:uid="{00000000-0005-0000-0000-000031040000}"/>
    <cellStyle name="SAPBEXexcCritical5" xfId="1073" xr:uid="{00000000-0005-0000-0000-000032040000}"/>
    <cellStyle name="SAPBEXexcCritical5 2" xfId="1074" xr:uid="{00000000-0005-0000-0000-000033040000}"/>
    <cellStyle name="SAPBEXexcCritical5 2 2" xfId="1075" xr:uid="{00000000-0005-0000-0000-000034040000}"/>
    <cellStyle name="SAPBEXexcCritical5_1 - Fiche descriptive" xfId="1076" xr:uid="{00000000-0005-0000-0000-000035040000}"/>
    <cellStyle name="SAPBEXexcCritical6" xfId="1077" xr:uid="{00000000-0005-0000-0000-000036040000}"/>
    <cellStyle name="SAPBEXexcCritical6 2" xfId="1078" xr:uid="{00000000-0005-0000-0000-000037040000}"/>
    <cellStyle name="SAPBEXexcCritical6 2 2" xfId="1079" xr:uid="{00000000-0005-0000-0000-000038040000}"/>
    <cellStyle name="SAPBEXexcCritical6_1 - Fiche descriptive" xfId="1080" xr:uid="{00000000-0005-0000-0000-000039040000}"/>
    <cellStyle name="SAPBEXexcGood1" xfId="1081" xr:uid="{00000000-0005-0000-0000-00003A040000}"/>
    <cellStyle name="SAPBEXexcGood1 2" xfId="1082" xr:uid="{00000000-0005-0000-0000-00003B040000}"/>
    <cellStyle name="SAPBEXexcGood1 2 2" xfId="1083" xr:uid="{00000000-0005-0000-0000-00003C040000}"/>
    <cellStyle name="SAPBEXexcGood1_1 - Fiche descriptive" xfId="1084" xr:uid="{00000000-0005-0000-0000-00003D040000}"/>
    <cellStyle name="SAPBEXexcGood2" xfId="1085" xr:uid="{00000000-0005-0000-0000-00003E040000}"/>
    <cellStyle name="SAPBEXexcGood2 2" xfId="1086" xr:uid="{00000000-0005-0000-0000-00003F040000}"/>
    <cellStyle name="SAPBEXexcGood2 2 2" xfId="1087" xr:uid="{00000000-0005-0000-0000-000040040000}"/>
    <cellStyle name="SAPBEXexcGood2_1 - Fiche descriptive" xfId="1088" xr:uid="{00000000-0005-0000-0000-000041040000}"/>
    <cellStyle name="SAPBEXexcGood3" xfId="1089" xr:uid="{00000000-0005-0000-0000-000042040000}"/>
    <cellStyle name="SAPBEXexcGood3 2" xfId="1090" xr:uid="{00000000-0005-0000-0000-000043040000}"/>
    <cellStyle name="SAPBEXexcGood3 2 2" xfId="1091" xr:uid="{00000000-0005-0000-0000-000044040000}"/>
    <cellStyle name="SAPBEXexcGood3_1 - Fiche descriptive" xfId="1092" xr:uid="{00000000-0005-0000-0000-000045040000}"/>
    <cellStyle name="SAPBEXfilterDrill" xfId="1093" xr:uid="{00000000-0005-0000-0000-000046040000}"/>
    <cellStyle name="SAPBEXfilterDrill 2" xfId="1094" xr:uid="{00000000-0005-0000-0000-000047040000}"/>
    <cellStyle name="SAPBEXfilterDrill 2 2" xfId="1095" xr:uid="{00000000-0005-0000-0000-000048040000}"/>
    <cellStyle name="SAPBEXfilterDrill_1 - Fiche descriptive" xfId="1096" xr:uid="{00000000-0005-0000-0000-000049040000}"/>
    <cellStyle name="SAPBEXfilterItem" xfId="1097" xr:uid="{00000000-0005-0000-0000-00004A040000}"/>
    <cellStyle name="SAPBEXfilterItem 2" xfId="1098" xr:uid="{00000000-0005-0000-0000-00004B040000}"/>
    <cellStyle name="SAPBEXfilterItem 2 2" xfId="1099" xr:uid="{00000000-0005-0000-0000-00004C040000}"/>
    <cellStyle name="SAPBEXfilterItem_1 - Fiche descriptive" xfId="1100" xr:uid="{00000000-0005-0000-0000-00004D040000}"/>
    <cellStyle name="SAPBEXfilterText" xfId="1101" xr:uid="{00000000-0005-0000-0000-00004E040000}"/>
    <cellStyle name="SAPBEXfilterText 2" xfId="1102" xr:uid="{00000000-0005-0000-0000-00004F040000}"/>
    <cellStyle name="SAPBEXfilterText 2 2" xfId="1103" xr:uid="{00000000-0005-0000-0000-000050040000}"/>
    <cellStyle name="SAPBEXfilterText_1 - Fiche descriptive" xfId="1104" xr:uid="{00000000-0005-0000-0000-000051040000}"/>
    <cellStyle name="SAPBEXformats" xfId="1105" xr:uid="{00000000-0005-0000-0000-000052040000}"/>
    <cellStyle name="SAPBEXformats 2" xfId="1106" xr:uid="{00000000-0005-0000-0000-000053040000}"/>
    <cellStyle name="SAPBEXformats 2 2" xfId="1107" xr:uid="{00000000-0005-0000-0000-000054040000}"/>
    <cellStyle name="SAPBEXformats_1 - Fiche descriptive" xfId="1108" xr:uid="{00000000-0005-0000-0000-000055040000}"/>
    <cellStyle name="SAPBEXheaderItem" xfId="1109" xr:uid="{00000000-0005-0000-0000-000056040000}"/>
    <cellStyle name="SAPBEXheaderItem 2" xfId="1110" xr:uid="{00000000-0005-0000-0000-000057040000}"/>
    <cellStyle name="SAPBEXheaderItem 2 2" xfId="1111" xr:uid="{00000000-0005-0000-0000-000058040000}"/>
    <cellStyle name="SAPBEXheaderItem_1 - Fiche descriptive" xfId="1112" xr:uid="{00000000-0005-0000-0000-000059040000}"/>
    <cellStyle name="SAPBEXheaderText" xfId="1113" xr:uid="{00000000-0005-0000-0000-00005A040000}"/>
    <cellStyle name="SAPBEXheaderText 2" xfId="1114" xr:uid="{00000000-0005-0000-0000-00005B040000}"/>
    <cellStyle name="SAPBEXheaderText 2 2" xfId="1115" xr:uid="{00000000-0005-0000-0000-00005C040000}"/>
    <cellStyle name="SAPBEXheaderText_1 - Fiche descriptive" xfId="1116" xr:uid="{00000000-0005-0000-0000-00005D040000}"/>
    <cellStyle name="SAPBEXresData" xfId="1117" xr:uid="{00000000-0005-0000-0000-00005E040000}"/>
    <cellStyle name="SAPBEXresData 2" xfId="1118" xr:uid="{00000000-0005-0000-0000-00005F040000}"/>
    <cellStyle name="SAPBEXresData 2 2" xfId="1119" xr:uid="{00000000-0005-0000-0000-000060040000}"/>
    <cellStyle name="SAPBEXresData_1 - Fiche descriptive" xfId="1120" xr:uid="{00000000-0005-0000-0000-000061040000}"/>
    <cellStyle name="SAPBEXresDataEmph" xfId="1121" xr:uid="{00000000-0005-0000-0000-000062040000}"/>
    <cellStyle name="SAPBEXresDataEmph 2" xfId="1122" xr:uid="{00000000-0005-0000-0000-000063040000}"/>
    <cellStyle name="SAPBEXresDataEmph 2 2" xfId="1123" xr:uid="{00000000-0005-0000-0000-000064040000}"/>
    <cellStyle name="SAPBEXresDataEmph_1 - Fiche descriptive" xfId="1124" xr:uid="{00000000-0005-0000-0000-000065040000}"/>
    <cellStyle name="SAPBEXresItem" xfId="1125" xr:uid="{00000000-0005-0000-0000-000066040000}"/>
    <cellStyle name="SAPBEXresItem 2" xfId="1126" xr:uid="{00000000-0005-0000-0000-000067040000}"/>
    <cellStyle name="SAPBEXresItem 2 2" xfId="1127" xr:uid="{00000000-0005-0000-0000-000068040000}"/>
    <cellStyle name="SAPBEXresItem_1 - Fiche descriptive" xfId="1128" xr:uid="{00000000-0005-0000-0000-000069040000}"/>
    <cellStyle name="SAPBEXstdData" xfId="1129" xr:uid="{00000000-0005-0000-0000-00006A040000}"/>
    <cellStyle name="SAPBEXstdDataEmph" xfId="1130" xr:uid="{00000000-0005-0000-0000-00006B040000}"/>
    <cellStyle name="SAPBEXstdDataEmph 2" xfId="1131" xr:uid="{00000000-0005-0000-0000-00006C040000}"/>
    <cellStyle name="SAPBEXstdDataEmph 2 2" xfId="1132" xr:uid="{00000000-0005-0000-0000-00006D040000}"/>
    <cellStyle name="SAPBEXstdDataEmph_1 - Fiche descriptive" xfId="1133" xr:uid="{00000000-0005-0000-0000-00006E040000}"/>
    <cellStyle name="SAPBEXstdItem" xfId="1134" xr:uid="{00000000-0005-0000-0000-00006F040000}"/>
    <cellStyle name="SAPBEXstdItem 2" xfId="1135" xr:uid="{00000000-0005-0000-0000-000070040000}"/>
    <cellStyle name="SAPBEXstdItem 2 2" xfId="1136" xr:uid="{00000000-0005-0000-0000-000071040000}"/>
    <cellStyle name="SAPBEXstdItem_1 - Fiche descriptive" xfId="1137" xr:uid="{00000000-0005-0000-0000-000072040000}"/>
    <cellStyle name="SAPBEXtitle" xfId="1138" xr:uid="{00000000-0005-0000-0000-000073040000}"/>
    <cellStyle name="SAPBEXtitle 2" xfId="1139" xr:uid="{00000000-0005-0000-0000-000074040000}"/>
    <cellStyle name="SAPBEXtitle 2 2" xfId="1140" xr:uid="{00000000-0005-0000-0000-000075040000}"/>
    <cellStyle name="SAPBEXtitle_1 - Fiche descriptive" xfId="1141" xr:uid="{00000000-0005-0000-0000-000076040000}"/>
    <cellStyle name="SAPBEXundefined" xfId="1142" xr:uid="{00000000-0005-0000-0000-000077040000}"/>
    <cellStyle name="SAPBEXundefined 2" xfId="1143" xr:uid="{00000000-0005-0000-0000-000078040000}"/>
    <cellStyle name="SAPBEXundefined 2 2" xfId="1144" xr:uid="{00000000-0005-0000-0000-000079040000}"/>
    <cellStyle name="SAPBEXundefined_1 - Fiche descriptive" xfId="1145" xr:uid="{00000000-0005-0000-0000-00007A040000}"/>
    <cellStyle name="Satisfaisant 2" xfId="1147" xr:uid="{00000000-0005-0000-0000-00007C040000}"/>
    <cellStyle name="Schlecht" xfId="916" builtinId="27" customBuiltin="1"/>
    <cellStyle name="Sortie 2" xfId="1149" xr:uid="{00000000-0005-0000-0000-00007E040000}"/>
    <cellStyle name="Standard" xfId="0" builtinId="0"/>
    <cellStyle name="StationEach" xfId="1150" xr:uid="{00000000-0005-0000-0000-00007F040000}"/>
    <cellStyle name="StationTot" xfId="1151" xr:uid="{00000000-0005-0000-0000-000080040000}"/>
    <cellStyle name="Style 1" xfId="1152" xr:uid="{00000000-0005-0000-0000-000081040000}"/>
    <cellStyle name="Style 1 2" xfId="1153" xr:uid="{00000000-0005-0000-0000-000082040000}"/>
    <cellStyle name="StyleJour" xfId="1154" xr:uid="{00000000-0005-0000-0000-000083040000}"/>
    <cellStyle name="StyleJour 2" xfId="1155" xr:uid="{00000000-0005-0000-0000-000084040000}"/>
    <cellStyle name="StyleJour 2 2" xfId="1156" xr:uid="{00000000-0005-0000-0000-000085040000}"/>
    <cellStyle name="StyleJour 3" xfId="1157" xr:uid="{00000000-0005-0000-0000-000086040000}"/>
    <cellStyle name="StyleJour_1 - Fiche descriptive" xfId="1158" xr:uid="{00000000-0005-0000-0000-000087040000}"/>
    <cellStyle name="styleTitreHorizontal" xfId="1159" xr:uid="{00000000-0005-0000-0000-000088040000}"/>
    <cellStyle name="styleTitreHorizontal 2" xfId="1160" xr:uid="{00000000-0005-0000-0000-000089040000}"/>
    <cellStyle name="styleTitreHorizontal_1 - Fiche descriptive" xfId="1161" xr:uid="{00000000-0005-0000-0000-00008A040000}"/>
    <cellStyle name="styleTitreVertical" xfId="1162" xr:uid="{00000000-0005-0000-0000-00008B040000}"/>
    <cellStyle name="styleTitreVertical 2" xfId="1163" xr:uid="{00000000-0005-0000-0000-00008C040000}"/>
    <cellStyle name="styleTitreVertical_1 - Fiche descriptive" xfId="1164" xr:uid="{00000000-0005-0000-0000-00008D040000}"/>
    <cellStyle name="SubTot" xfId="1165" xr:uid="{00000000-0005-0000-0000-00008E040000}"/>
    <cellStyle name="Subtoteqsheet" xfId="1166" xr:uid="{00000000-0005-0000-0000-00008F040000}"/>
    <cellStyle name="Subtoteqsheet 2" xfId="1167" xr:uid="{00000000-0005-0000-0000-000090040000}"/>
    <cellStyle name="temp" xfId="1168" xr:uid="{00000000-0005-0000-0000-000091040000}"/>
    <cellStyle name="Times" xfId="1170" xr:uid="{00000000-0005-0000-0000-000093040000}"/>
    <cellStyle name="Title" xfId="1171" xr:uid="{00000000-0005-0000-0000-000094040000}"/>
    <cellStyle name="Titre 1" xfId="1173" xr:uid="{00000000-0005-0000-0000-000096040000}"/>
    <cellStyle name="titre ital 32" xfId="1174" xr:uid="{00000000-0005-0000-0000-000097040000}"/>
    <cellStyle name="TitreSérie" xfId="1179" xr:uid="{00000000-0005-0000-0000-00009C040000}"/>
    <cellStyle name="TitreSérie 2" xfId="1180" xr:uid="{00000000-0005-0000-0000-00009D040000}"/>
    <cellStyle name="TitreSérie 3" xfId="1181" xr:uid="{00000000-0005-0000-0000-00009E040000}"/>
    <cellStyle name="TitreSérie 3 2" xfId="1182" xr:uid="{00000000-0005-0000-0000-00009F040000}"/>
    <cellStyle name="TitreSérie 4" xfId="1183" xr:uid="{00000000-0005-0000-0000-0000A0040000}"/>
    <cellStyle name="TitreSérie 5" xfId="1184" xr:uid="{00000000-0005-0000-0000-0000A1040000}"/>
    <cellStyle name="TitreSérie_1 - Fiche descriptive" xfId="1185" xr:uid="{00000000-0005-0000-0000-0000A2040000}"/>
    <cellStyle name="TypeDonnée" xfId="1187" xr:uid="{00000000-0005-0000-0000-0000A4040000}"/>
    <cellStyle name="TypeDonnée 2" xfId="1188" xr:uid="{00000000-0005-0000-0000-0000A5040000}"/>
    <cellStyle name="TypeDonnée 2 2" xfId="1189" xr:uid="{00000000-0005-0000-0000-0000A6040000}"/>
    <cellStyle name="TypeDonnée 3" xfId="1190" xr:uid="{00000000-0005-0000-0000-0000A7040000}"/>
    <cellStyle name="TypeDonnée 3 2" xfId="1191" xr:uid="{00000000-0005-0000-0000-0000A8040000}"/>
    <cellStyle name="TypeDonnée 4" xfId="1192" xr:uid="{00000000-0005-0000-0000-0000A9040000}"/>
    <cellStyle name="TypeDonnée_1 - Fiche descriptive" xfId="1193" xr:uid="{00000000-0005-0000-0000-0000AA040000}"/>
    <cellStyle name="Überschrift" xfId="1172" builtinId="15" customBuiltin="1"/>
    <cellStyle name="Überschrift 1" xfId="1175" builtinId="16" customBuiltin="1"/>
    <cellStyle name="Überschrift 2" xfId="1176" builtinId="17" customBuiltin="1"/>
    <cellStyle name="Überschrift 3" xfId="1177" builtinId="18" customBuiltin="1"/>
    <cellStyle name="Überschrift 4" xfId="1178" builtinId="19" customBuiltin="1"/>
    <cellStyle name="Variation" xfId="1194" xr:uid="{00000000-0005-0000-0000-0000AB040000}"/>
    <cellStyle name="Variation 2" xfId="1195" xr:uid="{00000000-0005-0000-0000-0000AC040000}"/>
    <cellStyle name="Variation 2 2" xfId="1196" xr:uid="{00000000-0005-0000-0000-0000AD040000}"/>
    <cellStyle name="Variation 3" xfId="1197" xr:uid="{00000000-0005-0000-0000-0000AE040000}"/>
    <cellStyle name="Variation 3 2" xfId="1198" xr:uid="{00000000-0005-0000-0000-0000AF040000}"/>
    <cellStyle name="Variation 4" xfId="1199" xr:uid="{00000000-0005-0000-0000-0000B0040000}"/>
    <cellStyle name="Variation_1 - Fiche descriptive" xfId="1200" xr:uid="{00000000-0005-0000-0000-0000B1040000}"/>
    <cellStyle name="Vérification 2" xfId="1202" xr:uid="{00000000-0005-0000-0000-0000B3040000}"/>
    <cellStyle name="Verknüpfte Zelle" xfId="268" builtinId="24" customBuiltin="1"/>
    <cellStyle name="Warnender Text" xfId="254" builtinId="11" customBuiltin="1"/>
    <cellStyle name="Warning Text" xfId="1203" xr:uid="{00000000-0005-0000-0000-0000B4040000}"/>
    <cellStyle name="Zelle überprüfen" xfId="1201" builtinId="23" customBuiltin="1"/>
    <cellStyle name="Обычный_2.1 GANTT" xfId="1204" xr:uid="{00000000-0005-0000-0000-0000B5040000}"/>
    <cellStyle name="標準_Application List with Client Dependencies DSL" xfId="1205" xr:uid="{00000000-0005-0000-0000-0000B6040000}"/>
  </cellStyles>
  <dxfs count="6">
    <dxf>
      <font>
        <b/>
        <i val="0"/>
        <condense val="0"/>
        <extend val="0"/>
      </font>
      <fill>
        <patternFill>
          <bgColor indexed="41"/>
        </patternFill>
      </fill>
    </dxf>
    <dxf>
      <fill>
        <patternFill>
          <bgColor indexed="47"/>
        </patternFill>
      </fill>
    </dxf>
    <dxf>
      <fill>
        <patternFill>
          <bgColor indexed="42"/>
        </patternFill>
      </fill>
    </dxf>
    <dxf>
      <font>
        <b/>
        <i val="0"/>
        <condense val="0"/>
        <extend val="0"/>
      </font>
      <fill>
        <patternFill>
          <bgColor indexed="41"/>
        </patternFill>
      </fill>
    </dxf>
    <dxf>
      <fill>
        <patternFill>
          <bgColor indexed="47"/>
        </patternFill>
      </fill>
    </dxf>
    <dxf>
      <fill>
        <patternFill>
          <bgColor indexed="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39922"/>
      <rgbColor rgb="00800080"/>
      <rgbColor rgb="00008080"/>
      <rgbColor rgb="00C0C0C0"/>
      <rgbColor rgb="00808080"/>
      <rgbColor rgb="00989CFC"/>
      <rgbColor rgb="009F375A"/>
      <rgbColor rgb="00FFFFCC"/>
      <rgbColor rgb="00CCFFFF"/>
      <rgbColor rgb="00660066"/>
      <rgbColor rgb="00FF8080"/>
      <rgbColor rgb="000066CC"/>
      <rgbColor rgb="00CCCCFF"/>
      <rgbColor rgb="00EFEF8F"/>
      <rgbColor rgb="00CC9CCC"/>
      <rgbColor rgb="00FFC000"/>
      <rgbColor rgb="007FB2FF"/>
      <rgbColor rgb="00BFBFBF"/>
      <rgbColor rgb="00FFCC66"/>
      <rgbColor rgb="00488DB6"/>
      <rgbColor rgb="00D9D9D9"/>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C0C0FF"/>
      <rgbColor rgb="00F79646"/>
      <rgbColor rgb="00993300"/>
      <rgbColor rgb="00DB843D"/>
      <rgbColor rgb="00333399"/>
      <rgbColor rgb="00333333"/>
    </indexedColors>
    <mruColors>
      <color rgb="FFFFFF99"/>
      <color rgb="FF95B3D7"/>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236220</xdr:colOff>
      <xdr:row>0</xdr:row>
      <xdr:rowOff>94877</xdr:rowOff>
    </xdr:from>
    <xdr:to>
      <xdr:col>10</xdr:col>
      <xdr:colOff>668537</xdr:colOff>
      <xdr:row>2</xdr:row>
      <xdr:rowOff>45995</xdr:rowOff>
    </xdr:to>
    <xdr:sp macro="" textlink="">
      <xdr:nvSpPr>
        <xdr:cNvPr id="3" name="Text Box 7">
          <a:extLst>
            <a:ext uri="{FF2B5EF4-FFF2-40B4-BE49-F238E27FC236}">
              <a16:creationId xmlns:a16="http://schemas.microsoft.com/office/drawing/2014/main" id="{00000000-0008-0000-0000-000003000000}"/>
            </a:ext>
          </a:extLst>
        </xdr:cNvPr>
        <xdr:cNvSpPr txBox="1">
          <a:spLocks noChangeArrowheads="1"/>
        </xdr:cNvSpPr>
      </xdr:nvSpPr>
      <xdr:spPr bwMode="auto">
        <a:xfrm>
          <a:off x="340659" y="94877"/>
          <a:ext cx="7518026" cy="2724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fr-FR" sz="1600" b="1" i="0" u="none" strike="noStrike" baseline="0">
              <a:solidFill>
                <a:srgbClr val="000000"/>
              </a:solidFill>
              <a:latin typeface="Arial"/>
              <a:cs typeface="Arial"/>
            </a:rPr>
            <a:t>Dossier de pilotage de projet ; Identification Projet</a:t>
          </a:r>
        </a:p>
      </xdr:txBody>
    </xdr:sp>
    <xdr:clientData/>
  </xdr:twoCellAnchor>
  <xdr:twoCellAnchor>
    <xdr:from>
      <xdr:col>14</xdr:col>
      <xdr:colOff>68580</xdr:colOff>
      <xdr:row>1</xdr:row>
      <xdr:rowOff>83820</xdr:rowOff>
    </xdr:from>
    <xdr:to>
      <xdr:col>15</xdr:col>
      <xdr:colOff>342900</xdr:colOff>
      <xdr:row>6</xdr:row>
      <xdr:rowOff>190500</xdr:rowOff>
    </xdr:to>
    <xdr:sp macro="" textlink="">
      <xdr:nvSpPr>
        <xdr:cNvPr id="39742498" name="Line 6">
          <a:extLst>
            <a:ext uri="{FF2B5EF4-FFF2-40B4-BE49-F238E27FC236}">
              <a16:creationId xmlns:a16="http://schemas.microsoft.com/office/drawing/2014/main" id="{00000000-0008-0000-0000-0000226C5E02}"/>
            </a:ext>
          </a:extLst>
        </xdr:cNvPr>
        <xdr:cNvSpPr>
          <a:spLocks noChangeShapeType="1"/>
        </xdr:cNvSpPr>
      </xdr:nvSpPr>
      <xdr:spPr bwMode="auto">
        <a:xfrm flipH="1" flipV="1">
          <a:off x="10713720" y="243840"/>
          <a:ext cx="1059180" cy="1196340"/>
        </a:xfrm>
        <a:prstGeom prst="line">
          <a:avLst/>
        </a:prstGeom>
        <a:noFill/>
        <a:ln w="571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fPrintsWithSheet="0"/>
  </xdr:twoCellAnchor>
  <xdr:twoCellAnchor>
    <xdr:from>
      <xdr:col>15</xdr:col>
      <xdr:colOff>12700</xdr:colOff>
      <xdr:row>6</xdr:row>
      <xdr:rowOff>40005</xdr:rowOff>
    </xdr:from>
    <xdr:to>
      <xdr:col>20</xdr:col>
      <xdr:colOff>191772</xdr:colOff>
      <xdr:row>11</xdr:row>
      <xdr:rowOff>274955</xdr:rowOff>
    </xdr:to>
    <xdr:sp macro="" textlink="">
      <xdr:nvSpPr>
        <xdr:cNvPr id="5" name="Oval 23">
          <a:extLst>
            <a:ext uri="{FF2B5EF4-FFF2-40B4-BE49-F238E27FC236}">
              <a16:creationId xmlns:a16="http://schemas.microsoft.com/office/drawing/2014/main" id="{00000000-0008-0000-0000-000005000000}"/>
            </a:ext>
          </a:extLst>
        </xdr:cNvPr>
        <xdr:cNvSpPr>
          <a:spLocks noChangeArrowheads="1"/>
        </xdr:cNvSpPr>
      </xdr:nvSpPr>
      <xdr:spPr bwMode="auto">
        <a:xfrm>
          <a:off x="11137900" y="1076325"/>
          <a:ext cx="3981450" cy="1720850"/>
        </a:xfrm>
        <a:prstGeom prst="ellipse">
          <a:avLst/>
        </a:prstGeom>
        <a:solidFill>
          <a:srgbClr val="99CCFF"/>
        </a:solidFill>
        <a:ln w="9525">
          <a:solidFill>
            <a:srgbClr val="000000"/>
          </a:solidFill>
          <a:round/>
          <a:headEnd/>
          <a:tailEnd/>
        </a:ln>
        <a:effectLst>
          <a:outerShdw dist="107763" dir="2700000" algn="ctr" rotWithShape="0">
            <a:srgbClr val="808080"/>
          </a:outerShdw>
        </a:effectLst>
      </xdr:spPr>
      <xdr:txBody>
        <a:bodyPr vertOverflow="clip" wrap="square" lIns="36576" tIns="22860" rIns="36576" bIns="0" anchor="t" upright="1"/>
        <a:lstStyle/>
        <a:p>
          <a:pPr algn="ctr" rtl="0">
            <a:defRPr sz="1000"/>
          </a:pPr>
          <a:endParaRPr lang="fr-FR" sz="1200" b="1" i="1" u="none" strike="noStrike" baseline="0">
            <a:solidFill>
              <a:srgbClr val="FF0000"/>
            </a:solidFill>
            <a:latin typeface="Arial"/>
            <a:cs typeface="Arial"/>
          </a:endParaRPr>
        </a:p>
        <a:p>
          <a:pPr algn="ctr" rtl="0">
            <a:defRPr sz="1000"/>
          </a:pPr>
          <a:r>
            <a:rPr lang="fr-FR" sz="1200" b="1" i="1" u="none" strike="noStrike" baseline="0">
              <a:solidFill>
                <a:srgbClr val="000000"/>
              </a:solidFill>
              <a:latin typeface="Arial"/>
              <a:cs typeface="Arial"/>
            </a:rPr>
            <a:t>Penser à modifier ces données</a:t>
          </a:r>
        </a:p>
        <a:p>
          <a:pPr algn="ctr" rtl="0">
            <a:defRPr sz="1000"/>
          </a:pPr>
          <a:r>
            <a:rPr lang="fr-FR" sz="1200" b="1" i="1" u="none" strike="noStrike" baseline="0">
              <a:solidFill>
                <a:srgbClr val="000000"/>
              </a:solidFill>
              <a:latin typeface="Arial"/>
              <a:cs typeface="Arial"/>
            </a:rPr>
            <a:t>à chaque nouvelle version</a:t>
          </a:r>
        </a:p>
        <a:p>
          <a:pPr algn="ctr" rtl="0">
            <a:defRPr sz="1000"/>
          </a:pPr>
          <a:r>
            <a:rPr lang="fr-FR" sz="1200" b="1" i="1" u="none" strike="noStrike" baseline="0">
              <a:solidFill>
                <a:srgbClr val="000000"/>
              </a:solidFill>
              <a:latin typeface="Arial"/>
              <a:cs typeface="Arial"/>
            </a:rPr>
            <a:t>Elles seront répercutées dans les autres onglets</a:t>
          </a:r>
          <a:endParaRPr lang="fr-FR" sz="1000" b="0" i="0" u="none" strike="noStrike" baseline="0">
            <a:solidFill>
              <a:srgbClr val="000000"/>
            </a:solidFill>
            <a:latin typeface="Arial"/>
            <a:cs typeface="Arial"/>
          </a:endParaRPr>
        </a:p>
        <a:p>
          <a:pPr algn="ctr" rtl="0">
            <a:defRPr sz="1000"/>
          </a:pPr>
          <a:endParaRPr lang="fr-FR" sz="1000" b="0" i="0" u="none" strike="noStrike" baseline="0">
            <a:solidFill>
              <a:srgbClr val="000000"/>
            </a:solidFill>
            <a:latin typeface="Arial"/>
            <a:cs typeface="Arial"/>
          </a:endParaRP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4</xdr:col>
      <xdr:colOff>458670</xdr:colOff>
      <xdr:row>0</xdr:row>
      <xdr:rowOff>0</xdr:rowOff>
    </xdr:from>
    <xdr:to>
      <xdr:col>4</xdr:col>
      <xdr:colOff>3971926</xdr:colOff>
      <xdr:row>2</xdr:row>
      <xdr:rowOff>181535</xdr:rowOff>
    </xdr:to>
    <xdr:sp macro="" textlink="" fLocksText="0">
      <xdr:nvSpPr>
        <xdr:cNvPr id="2" name="Text Box 34">
          <a:extLst>
            <a:ext uri="{FF2B5EF4-FFF2-40B4-BE49-F238E27FC236}">
              <a16:creationId xmlns:a16="http://schemas.microsoft.com/office/drawing/2014/main" id="{00000000-0008-0000-0100-000002000000}"/>
            </a:ext>
          </a:extLst>
        </xdr:cNvPr>
        <xdr:cNvSpPr txBox="1">
          <a:spLocks noChangeArrowheads="1"/>
        </xdr:cNvSpPr>
      </xdr:nvSpPr>
      <xdr:spPr bwMode="auto">
        <a:xfrm>
          <a:off x="4430595" y="0"/>
          <a:ext cx="3513256" cy="51491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Besoin Capturé</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2407920</xdr:colOff>
      <xdr:row>0</xdr:row>
      <xdr:rowOff>121921</xdr:rowOff>
    </xdr:from>
    <xdr:to>
      <xdr:col>4</xdr:col>
      <xdr:colOff>275027</xdr:colOff>
      <xdr:row>2</xdr:row>
      <xdr:rowOff>1</xdr:rowOff>
    </xdr:to>
    <xdr:sp macro="" textlink="" fLocksText="0">
      <xdr:nvSpPr>
        <xdr:cNvPr id="5" name="Text Box 34">
          <a:extLst>
            <a:ext uri="{FF2B5EF4-FFF2-40B4-BE49-F238E27FC236}">
              <a16:creationId xmlns:a16="http://schemas.microsoft.com/office/drawing/2014/main" id="{00000000-0008-0000-0600-000005000000}"/>
            </a:ext>
          </a:extLst>
        </xdr:cNvPr>
        <xdr:cNvSpPr txBox="1">
          <a:spLocks noChangeArrowheads="1"/>
        </xdr:cNvSpPr>
      </xdr:nvSpPr>
      <xdr:spPr bwMode="auto">
        <a:xfrm>
          <a:off x="2407920" y="121921"/>
          <a:ext cx="7437827" cy="3048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Risques / opportunités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1861633</xdr:colOff>
      <xdr:row>0</xdr:row>
      <xdr:rowOff>82924</xdr:rowOff>
    </xdr:from>
    <xdr:to>
      <xdr:col>1</xdr:col>
      <xdr:colOff>3429000</xdr:colOff>
      <xdr:row>2</xdr:row>
      <xdr:rowOff>79032</xdr:rowOff>
    </xdr:to>
    <xdr:sp macro="" textlink="">
      <xdr:nvSpPr>
        <xdr:cNvPr id="3" name="Text Box 2">
          <a:extLst>
            <a:ext uri="{FF2B5EF4-FFF2-40B4-BE49-F238E27FC236}">
              <a16:creationId xmlns:a16="http://schemas.microsoft.com/office/drawing/2014/main" id="{00000000-0008-0000-0700-000003000000}"/>
            </a:ext>
          </a:extLst>
        </xdr:cNvPr>
        <xdr:cNvSpPr txBox="1">
          <a:spLocks noChangeArrowheads="1"/>
        </xdr:cNvSpPr>
      </xdr:nvSpPr>
      <xdr:spPr bwMode="auto">
        <a:xfrm>
          <a:off x="1861633" y="82924"/>
          <a:ext cx="7644317" cy="37710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fr-FR" sz="1800" b="1" i="0" u="none" strike="noStrike" baseline="0">
              <a:solidFill>
                <a:srgbClr val="000000"/>
              </a:solidFill>
              <a:latin typeface="Arial"/>
              <a:cs typeface="Arial"/>
            </a:rPr>
            <a:t>Historique des principaux évènements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3971925</xdr:colOff>
      <xdr:row>0</xdr:row>
      <xdr:rowOff>133350</xdr:rowOff>
    </xdr:from>
    <xdr:to>
      <xdr:col>7</xdr:col>
      <xdr:colOff>467164</xdr:colOff>
      <xdr:row>2</xdr:row>
      <xdr:rowOff>143435</xdr:rowOff>
    </xdr:to>
    <xdr:sp macro="" textlink="" fLocksText="0">
      <xdr:nvSpPr>
        <xdr:cNvPr id="2" name="Text Box 34">
          <a:extLst>
            <a:ext uri="{FF2B5EF4-FFF2-40B4-BE49-F238E27FC236}">
              <a16:creationId xmlns:a16="http://schemas.microsoft.com/office/drawing/2014/main" id="{00000000-0008-0000-0800-000002000000}"/>
            </a:ext>
          </a:extLst>
        </xdr:cNvPr>
        <xdr:cNvSpPr txBox="1">
          <a:spLocks noChangeArrowheads="1"/>
        </xdr:cNvSpPr>
      </xdr:nvSpPr>
      <xdr:spPr bwMode="auto">
        <a:xfrm>
          <a:off x="4514850" y="133350"/>
          <a:ext cx="5248714" cy="3434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Liste des Actions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2133165</xdr:colOff>
      <xdr:row>0</xdr:row>
      <xdr:rowOff>86062</xdr:rowOff>
    </xdr:from>
    <xdr:to>
      <xdr:col>6</xdr:col>
      <xdr:colOff>1704979</xdr:colOff>
      <xdr:row>2</xdr:row>
      <xdr:rowOff>96147</xdr:rowOff>
    </xdr:to>
    <xdr:sp macro="" textlink="" fLocksText="0">
      <xdr:nvSpPr>
        <xdr:cNvPr id="20" name="Text Box 34">
          <a:extLst>
            <a:ext uri="{FF2B5EF4-FFF2-40B4-BE49-F238E27FC236}">
              <a16:creationId xmlns:a16="http://schemas.microsoft.com/office/drawing/2014/main" id="{00000000-0008-0000-0900-000014000000}"/>
            </a:ext>
          </a:extLst>
        </xdr:cNvPr>
        <xdr:cNvSpPr txBox="1">
          <a:spLocks noChangeArrowheads="1"/>
        </xdr:cNvSpPr>
      </xdr:nvSpPr>
      <xdr:spPr bwMode="auto">
        <a:xfrm>
          <a:off x="3230445" y="86062"/>
          <a:ext cx="5248714" cy="33774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Liste des Décisions</a:t>
          </a:r>
        </a:p>
      </xdr:txBody>
    </xdr:sp>
    <xdr:clientData/>
  </xdr:twoCellAnchor>
  <xdr:twoCellAnchor>
    <xdr:from>
      <xdr:col>10</xdr:col>
      <xdr:colOff>0</xdr:colOff>
      <xdr:row>6</xdr:row>
      <xdr:rowOff>0</xdr:rowOff>
    </xdr:from>
    <xdr:to>
      <xdr:col>10</xdr:col>
      <xdr:colOff>0</xdr:colOff>
      <xdr:row>6</xdr:row>
      <xdr:rowOff>0</xdr:rowOff>
    </xdr:to>
    <xdr:sp macro="" textlink="">
      <xdr:nvSpPr>
        <xdr:cNvPr id="39749776" name="AutoShape 1">
          <a:extLst>
            <a:ext uri="{FF2B5EF4-FFF2-40B4-BE49-F238E27FC236}">
              <a16:creationId xmlns:a16="http://schemas.microsoft.com/office/drawing/2014/main" id="{00000000-0008-0000-0900-000090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77" name="AutoShape 2">
          <a:extLst>
            <a:ext uri="{FF2B5EF4-FFF2-40B4-BE49-F238E27FC236}">
              <a16:creationId xmlns:a16="http://schemas.microsoft.com/office/drawing/2014/main" id="{00000000-0008-0000-0900-000091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78" name="AutoShape 3">
          <a:extLst>
            <a:ext uri="{FF2B5EF4-FFF2-40B4-BE49-F238E27FC236}">
              <a16:creationId xmlns:a16="http://schemas.microsoft.com/office/drawing/2014/main" id="{00000000-0008-0000-0900-000092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79" name="AutoShape 4">
          <a:extLst>
            <a:ext uri="{FF2B5EF4-FFF2-40B4-BE49-F238E27FC236}">
              <a16:creationId xmlns:a16="http://schemas.microsoft.com/office/drawing/2014/main" id="{00000000-0008-0000-0900-000093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0" name="AutoShape 5">
          <a:extLst>
            <a:ext uri="{FF2B5EF4-FFF2-40B4-BE49-F238E27FC236}">
              <a16:creationId xmlns:a16="http://schemas.microsoft.com/office/drawing/2014/main" id="{00000000-0008-0000-0900-000094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1" name="AutoShape 6">
          <a:extLst>
            <a:ext uri="{FF2B5EF4-FFF2-40B4-BE49-F238E27FC236}">
              <a16:creationId xmlns:a16="http://schemas.microsoft.com/office/drawing/2014/main" id="{00000000-0008-0000-0900-000095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2" name="AutoShape 10">
          <a:extLst>
            <a:ext uri="{FF2B5EF4-FFF2-40B4-BE49-F238E27FC236}">
              <a16:creationId xmlns:a16="http://schemas.microsoft.com/office/drawing/2014/main" id="{00000000-0008-0000-0900-000096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3" name="AutoShape 11">
          <a:extLst>
            <a:ext uri="{FF2B5EF4-FFF2-40B4-BE49-F238E27FC236}">
              <a16:creationId xmlns:a16="http://schemas.microsoft.com/office/drawing/2014/main" id="{00000000-0008-0000-0900-000097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4" name="AutoShape 12">
          <a:extLst>
            <a:ext uri="{FF2B5EF4-FFF2-40B4-BE49-F238E27FC236}">
              <a16:creationId xmlns:a16="http://schemas.microsoft.com/office/drawing/2014/main" id="{00000000-0008-0000-0900-000098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5" name="AutoShape 13">
          <a:extLst>
            <a:ext uri="{FF2B5EF4-FFF2-40B4-BE49-F238E27FC236}">
              <a16:creationId xmlns:a16="http://schemas.microsoft.com/office/drawing/2014/main" id="{00000000-0008-0000-0900-000099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6" name="AutoShape 14">
          <a:extLst>
            <a:ext uri="{FF2B5EF4-FFF2-40B4-BE49-F238E27FC236}">
              <a16:creationId xmlns:a16="http://schemas.microsoft.com/office/drawing/2014/main" id="{00000000-0008-0000-0900-00009A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7" name="AutoShape 15">
          <a:extLst>
            <a:ext uri="{FF2B5EF4-FFF2-40B4-BE49-F238E27FC236}">
              <a16:creationId xmlns:a16="http://schemas.microsoft.com/office/drawing/2014/main" id="{00000000-0008-0000-0900-00009B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1961715</xdr:colOff>
      <xdr:row>1</xdr:row>
      <xdr:rowOff>30817</xdr:rowOff>
    </xdr:from>
    <xdr:to>
      <xdr:col>6</xdr:col>
      <xdr:colOff>417247</xdr:colOff>
      <xdr:row>3</xdr:row>
      <xdr:rowOff>2802</xdr:rowOff>
    </xdr:to>
    <xdr:sp macro="" textlink="" fLocksText="0">
      <xdr:nvSpPr>
        <xdr:cNvPr id="3" name="Text Box 34">
          <a:extLst>
            <a:ext uri="{FF2B5EF4-FFF2-40B4-BE49-F238E27FC236}">
              <a16:creationId xmlns:a16="http://schemas.microsoft.com/office/drawing/2014/main" id="{00000000-0008-0000-0A00-000003000000}"/>
            </a:ext>
          </a:extLst>
        </xdr:cNvPr>
        <xdr:cNvSpPr txBox="1">
          <a:spLocks noChangeArrowheads="1"/>
        </xdr:cNvSpPr>
      </xdr:nvSpPr>
      <xdr:spPr bwMode="auto">
        <a:xfrm>
          <a:off x="3689550" y="30817"/>
          <a:ext cx="4454325" cy="3434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Documents projets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792045</xdr:colOff>
      <xdr:row>0</xdr:row>
      <xdr:rowOff>106681</xdr:rowOff>
    </xdr:from>
    <xdr:to>
      <xdr:col>2</xdr:col>
      <xdr:colOff>259079</xdr:colOff>
      <xdr:row>2</xdr:row>
      <xdr:rowOff>106681</xdr:rowOff>
    </xdr:to>
    <xdr:sp macro="" textlink="" fLocksText="0">
      <xdr:nvSpPr>
        <xdr:cNvPr id="2" name="Text Box 34">
          <a:extLst>
            <a:ext uri="{FF2B5EF4-FFF2-40B4-BE49-F238E27FC236}">
              <a16:creationId xmlns:a16="http://schemas.microsoft.com/office/drawing/2014/main" id="{00000000-0008-0000-0B00-000002000000}"/>
            </a:ext>
          </a:extLst>
        </xdr:cNvPr>
        <xdr:cNvSpPr txBox="1">
          <a:spLocks noChangeArrowheads="1"/>
        </xdr:cNvSpPr>
      </xdr:nvSpPr>
      <xdr:spPr bwMode="auto">
        <a:xfrm>
          <a:off x="792045" y="106681"/>
          <a:ext cx="6934634" cy="3276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Livrables projet</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8">
    <pageSetUpPr fitToPage="1"/>
  </sheetPr>
  <dimension ref="B1:S25"/>
  <sheetViews>
    <sheetView showGridLines="0" zoomScale="80" zoomScaleNormal="80" zoomScalePageLayoutView="70" workbookViewId="0">
      <selection activeCell="K17" sqref="K17"/>
    </sheetView>
  </sheetViews>
  <sheetFormatPr baseColWidth="10" defaultColWidth="11.44140625" defaultRowHeight="13.2"/>
  <cols>
    <col min="1" max="1" width="1.6640625" style="3" customWidth="1"/>
    <col min="2" max="2" width="11.44140625" style="3"/>
    <col min="3" max="3" width="29.5546875" style="3" customWidth="1"/>
    <col min="4" max="4" width="0.88671875" style="3" customWidth="1"/>
    <col min="5" max="13" width="10.6640625" style="3" customWidth="1"/>
    <col min="14" max="14" width="15.6640625" style="3" customWidth="1"/>
    <col min="15" max="16384" width="11.44140625" style="3"/>
  </cols>
  <sheetData>
    <row r="1" spans="2:16" ht="17.399999999999999">
      <c r="B1" s="117"/>
      <c r="C1" s="118"/>
      <c r="D1" s="118"/>
      <c r="E1" s="118"/>
      <c r="F1" s="118"/>
      <c r="G1" s="118"/>
      <c r="H1" s="118"/>
      <c r="I1" s="118"/>
      <c r="J1" s="118"/>
      <c r="K1" s="118"/>
      <c r="L1" s="176" t="s">
        <v>117</v>
      </c>
      <c r="M1" s="177"/>
      <c r="N1" s="178"/>
      <c r="P1" s="22"/>
    </row>
    <row r="2" spans="2:16" ht="12.75" customHeight="1">
      <c r="B2" s="119"/>
      <c r="C2" s="120"/>
      <c r="D2" s="120"/>
      <c r="E2" s="120"/>
      <c r="F2" s="120"/>
      <c r="G2" s="120"/>
      <c r="H2" s="120"/>
      <c r="I2" s="120"/>
      <c r="J2" s="120"/>
      <c r="K2" s="120"/>
      <c r="L2" s="179">
        <v>43524</v>
      </c>
      <c r="M2" s="180"/>
      <c r="N2" s="181"/>
    </row>
    <row r="3" spans="2:16" ht="12.75" customHeight="1" thickBot="1">
      <c r="B3" s="121"/>
      <c r="C3" s="122"/>
      <c r="D3" s="122"/>
      <c r="E3" s="122"/>
      <c r="F3" s="122"/>
      <c r="G3" s="122"/>
      <c r="H3" s="122"/>
      <c r="I3" s="122"/>
      <c r="J3" s="122"/>
      <c r="K3" s="122"/>
      <c r="L3" s="182" t="s">
        <v>80</v>
      </c>
      <c r="M3" s="183"/>
      <c r="N3" s="184"/>
      <c r="P3" s="22"/>
    </row>
    <row r="4" spans="2:16" ht="12.75" customHeight="1" thickBot="1">
      <c r="P4" s="23"/>
    </row>
    <row r="5" spans="2:16" ht="23.4" thickBot="1">
      <c r="B5" s="167" t="s">
        <v>20</v>
      </c>
      <c r="C5" s="167"/>
      <c r="D5" s="4"/>
      <c r="E5" s="185" t="s">
        <v>75</v>
      </c>
      <c r="F5" s="185"/>
      <c r="G5" s="185"/>
      <c r="H5" s="185"/>
      <c r="I5" s="185"/>
      <c r="J5" s="185"/>
      <c r="K5" s="185"/>
      <c r="L5" s="185"/>
      <c r="M5" s="185"/>
      <c r="N5" s="185"/>
    </row>
    <row r="6" spans="2:16" ht="7.95" customHeight="1" thickBot="1">
      <c r="B6" s="5"/>
      <c r="C6" s="6"/>
      <c r="E6" s="7"/>
      <c r="F6" s="7"/>
      <c r="G6" s="7"/>
      <c r="H6" s="7"/>
      <c r="I6" s="7"/>
      <c r="J6" s="7"/>
      <c r="K6" s="7"/>
      <c r="L6" s="7"/>
      <c r="M6" s="7"/>
      <c r="N6" s="7"/>
    </row>
    <row r="7" spans="2:16" ht="62.4" customHeight="1" thickBot="1">
      <c r="B7" s="167" t="s">
        <v>71</v>
      </c>
      <c r="C7" s="167"/>
      <c r="D7" s="4"/>
      <c r="E7" s="170" t="s">
        <v>78</v>
      </c>
      <c r="F7" s="171"/>
      <c r="G7" s="171"/>
      <c r="H7" s="171"/>
      <c r="I7" s="171"/>
      <c r="J7" s="171"/>
      <c r="K7" s="171"/>
      <c r="L7" s="171"/>
      <c r="M7" s="171"/>
      <c r="N7" s="172"/>
    </row>
    <row r="8" spans="2:16" ht="7.2" customHeight="1" thickBot="1">
      <c r="B8" s="8"/>
      <c r="C8" s="9"/>
      <c r="D8" s="4"/>
      <c r="E8" s="10"/>
      <c r="F8" s="10"/>
      <c r="G8" s="10"/>
      <c r="H8" s="10"/>
      <c r="I8" s="10"/>
      <c r="J8" s="10"/>
      <c r="K8" s="10"/>
      <c r="L8" s="10"/>
      <c r="M8" s="10"/>
      <c r="N8" s="10"/>
    </row>
    <row r="9" spans="2:16" ht="49.95" customHeight="1" thickBot="1">
      <c r="B9" s="173" t="s">
        <v>3</v>
      </c>
      <c r="C9" s="173"/>
      <c r="D9" s="4"/>
      <c r="E9" s="174" t="s">
        <v>76</v>
      </c>
      <c r="F9" s="175"/>
      <c r="G9" s="175"/>
      <c r="H9" s="175"/>
      <c r="I9" s="175"/>
      <c r="J9" s="175"/>
      <c r="K9" s="175"/>
      <c r="L9" s="175"/>
      <c r="M9" s="175"/>
      <c r="N9" s="175"/>
    </row>
    <row r="10" spans="2:16" ht="7.95" customHeight="1" thickBot="1">
      <c r="B10" s="8"/>
      <c r="C10" s="9"/>
      <c r="D10" s="4"/>
      <c r="E10" s="10"/>
      <c r="F10" s="10"/>
      <c r="G10" s="10"/>
      <c r="H10" s="10"/>
      <c r="I10" s="10"/>
      <c r="J10" s="10"/>
      <c r="K10" s="10"/>
      <c r="L10" s="10"/>
      <c r="M10" s="10"/>
      <c r="N10" s="10"/>
    </row>
    <row r="11" spans="2:16" ht="58.2" customHeight="1" thickBot="1">
      <c r="B11" s="167" t="s">
        <v>19</v>
      </c>
      <c r="C11" s="167"/>
      <c r="D11" s="4"/>
      <c r="E11" s="174" t="s">
        <v>77</v>
      </c>
      <c r="F11" s="175"/>
      <c r="G11" s="175"/>
      <c r="H11" s="175"/>
      <c r="I11" s="175"/>
      <c r="J11" s="175"/>
      <c r="K11" s="175"/>
      <c r="L11" s="175"/>
      <c r="M11" s="175"/>
      <c r="N11" s="175"/>
    </row>
    <row r="12" spans="2:16" ht="6" customHeight="1" thickBot="1">
      <c r="B12" s="8"/>
      <c r="C12" s="9"/>
      <c r="D12" s="4"/>
      <c r="E12" s="10"/>
      <c r="F12" s="10"/>
      <c r="G12" s="10"/>
      <c r="H12" s="10"/>
      <c r="I12" s="10"/>
      <c r="J12" s="10"/>
      <c r="K12" s="10"/>
      <c r="L12" s="10"/>
      <c r="M12" s="10"/>
      <c r="N12" s="10"/>
    </row>
    <row r="13" spans="2:16" ht="61.95" customHeight="1" thickBot="1">
      <c r="B13" s="167" t="s">
        <v>4</v>
      </c>
      <c r="C13" s="167"/>
      <c r="D13" s="4"/>
      <c r="E13" s="168" t="s">
        <v>79</v>
      </c>
      <c r="F13" s="169"/>
      <c r="G13" s="169"/>
      <c r="H13" s="169"/>
      <c r="I13" s="169"/>
      <c r="J13" s="169"/>
      <c r="K13" s="169"/>
      <c r="L13" s="169"/>
      <c r="M13" s="169"/>
      <c r="N13" s="169"/>
    </row>
    <row r="14" spans="2:16" ht="73.5" customHeight="1">
      <c r="B14" s="11"/>
      <c r="C14" s="11"/>
      <c r="D14" s="12"/>
      <c r="E14" s="13"/>
      <c r="F14" s="13"/>
      <c r="G14" s="13"/>
      <c r="H14" s="13"/>
      <c r="I14" s="13"/>
      <c r="J14" s="13"/>
      <c r="K14" s="13"/>
      <c r="L14" s="13"/>
      <c r="M14" s="13"/>
      <c r="N14" s="13"/>
    </row>
    <row r="15" spans="2:16" ht="18.75" customHeight="1"/>
    <row r="25" spans="19:19">
      <c r="S25" s="45"/>
    </row>
  </sheetData>
  <sheetProtection selectLockedCells="1" selectUnlockedCells="1"/>
  <mergeCells count="13">
    <mergeCell ref="L1:N1"/>
    <mergeCell ref="L2:N2"/>
    <mergeCell ref="L3:N3"/>
    <mergeCell ref="B5:C5"/>
    <mergeCell ref="E5:N5"/>
    <mergeCell ref="B13:C13"/>
    <mergeCell ref="E13:N13"/>
    <mergeCell ref="B7:C7"/>
    <mergeCell ref="E7:N7"/>
    <mergeCell ref="B9:C9"/>
    <mergeCell ref="E9:N9"/>
    <mergeCell ref="B11:C11"/>
    <mergeCell ref="E11:N11"/>
  </mergeCells>
  <dataValidations count="1">
    <dataValidation type="list" allowBlank="1" showErrorMessage="1" sqref="E8:N8 E10:N10 E12:N12" xr:uid="{00000000-0002-0000-0000-000000000000}">
      <formula1>"Customer funding,Private Venture on Business Plan,Mixed"</formula1>
      <formula2>0</formula2>
    </dataValidation>
  </dataValidations>
  <pageMargins left="0.23622047244094491" right="0.23622047244094491" top="0.23622047244094491" bottom="0.23622047244094491" header="0" footer="0"/>
  <pageSetup paperSize="9" scale="67" firstPageNumber="0"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1">
    <outlinePr summaryBelow="0" summaryRight="0"/>
    <pageSetUpPr fitToPage="1"/>
  </sheetPr>
  <dimension ref="A1:O60"/>
  <sheetViews>
    <sheetView showGridLines="0" topLeftCell="A10" zoomScale="85" zoomScaleNormal="80" workbookViewId="0">
      <selection activeCell="C44" sqref="C44"/>
    </sheetView>
  </sheetViews>
  <sheetFormatPr baseColWidth="10" defaultColWidth="11.44140625" defaultRowHeight="13.2" outlineLevelRow="2"/>
  <cols>
    <col min="1" max="1" width="19.6640625" style="1" customWidth="1"/>
    <col min="2" max="2" width="11.44140625" style="1" customWidth="1"/>
    <col min="3" max="3" width="16.21875" style="1" customWidth="1"/>
    <col min="4" max="4" width="12.109375" style="1" customWidth="1"/>
    <col min="5" max="5" width="85" style="2" customWidth="1"/>
    <col min="6" max="6" width="28.5546875" style="2" customWidth="1"/>
    <col min="7" max="7" width="49.21875" style="2" customWidth="1"/>
    <col min="8" max="8" width="22" style="2" customWidth="1"/>
    <col min="9" max="9" width="26.5546875" style="1" customWidth="1"/>
    <col min="10" max="16384" width="11.44140625" style="1"/>
  </cols>
  <sheetData>
    <row r="1" spans="1:15" ht="13.5" customHeight="1">
      <c r="A1" s="112"/>
      <c r="B1" s="111"/>
      <c r="C1" s="111"/>
      <c r="D1" s="111"/>
      <c r="E1" s="111"/>
      <c r="F1" s="111"/>
      <c r="G1" s="186"/>
      <c r="H1" s="187"/>
    </row>
    <row r="2" spans="1:15" ht="12.75" customHeight="1">
      <c r="A2" s="110"/>
      <c r="B2" s="113"/>
      <c r="C2" s="113"/>
      <c r="D2" s="113"/>
      <c r="E2" s="113"/>
      <c r="F2" s="113"/>
      <c r="G2" s="188"/>
      <c r="H2" s="189"/>
    </row>
    <row r="3" spans="1:15" ht="16.5" customHeight="1" thickBot="1">
      <c r="A3" s="114"/>
      <c r="B3" s="115"/>
      <c r="C3" s="115"/>
      <c r="D3" s="115"/>
      <c r="E3" s="115"/>
      <c r="F3" s="115"/>
      <c r="G3" s="190"/>
      <c r="H3" s="191"/>
    </row>
    <row r="4" spans="1:15" ht="12.75" customHeight="1"/>
    <row r="5" spans="1:15" ht="14.25" customHeight="1">
      <c r="A5"/>
      <c r="B5"/>
      <c r="C5"/>
      <c r="D5"/>
      <c r="E5"/>
      <c r="F5"/>
      <c r="G5"/>
    </row>
    <row r="6" spans="1:15">
      <c r="A6"/>
      <c r="B6"/>
      <c r="C6"/>
      <c r="D6"/>
      <c r="E6"/>
      <c r="F6"/>
      <c r="G6"/>
      <c r="H6"/>
    </row>
    <row r="7" spans="1:15" ht="23.4" customHeight="1">
      <c r="A7"/>
      <c r="B7"/>
      <c r="C7"/>
      <c r="D7"/>
      <c r="E7"/>
      <c r="F7"/>
      <c r="G7"/>
      <c r="H7"/>
    </row>
    <row r="8" spans="1:15" ht="23.4" customHeight="1">
      <c r="A8" s="135" t="s">
        <v>196</v>
      </c>
      <c r="B8" s="135" t="s">
        <v>197</v>
      </c>
      <c r="C8" s="135" t="s">
        <v>72</v>
      </c>
      <c r="D8" s="135" t="s">
        <v>198</v>
      </c>
      <c r="E8" s="135" t="s">
        <v>70</v>
      </c>
      <c r="F8" s="135" t="s">
        <v>199</v>
      </c>
      <c r="G8" s="135" t="s">
        <v>73</v>
      </c>
      <c r="H8"/>
    </row>
    <row r="9" spans="1:15" ht="23.4" customHeight="1">
      <c r="A9" s="134" t="s">
        <v>122</v>
      </c>
      <c r="B9" s="134" t="s">
        <v>123</v>
      </c>
      <c r="C9" s="134" t="s">
        <v>124</v>
      </c>
      <c r="D9" s="134" t="s">
        <v>125</v>
      </c>
      <c r="E9" s="134" t="s">
        <v>126</v>
      </c>
      <c r="F9" s="134" t="s">
        <v>127</v>
      </c>
      <c r="G9" s="134" t="s">
        <v>128</v>
      </c>
      <c r="H9"/>
    </row>
    <row r="10" spans="1:15" ht="23.4" customHeight="1">
      <c r="A10" s="134" t="s">
        <v>122</v>
      </c>
      <c r="B10" s="134" t="s">
        <v>129</v>
      </c>
      <c r="C10" s="134" t="s">
        <v>130</v>
      </c>
      <c r="D10" s="134" t="s">
        <v>125</v>
      </c>
      <c r="E10" s="134" t="s">
        <v>131</v>
      </c>
      <c r="F10" s="134" t="s">
        <v>132</v>
      </c>
      <c r="G10" s="134" t="s">
        <v>133</v>
      </c>
      <c r="H10"/>
    </row>
    <row r="11" spans="1:15" ht="23.4" customHeight="1" outlineLevel="2">
      <c r="A11" s="134" t="s">
        <v>122</v>
      </c>
      <c r="B11" s="134" t="s">
        <v>134</v>
      </c>
      <c r="C11" s="134" t="s">
        <v>135</v>
      </c>
      <c r="D11" s="134" t="s">
        <v>125</v>
      </c>
      <c r="E11" s="134" t="s">
        <v>136</v>
      </c>
      <c r="F11" s="134" t="s">
        <v>137</v>
      </c>
      <c r="G11" s="134" t="s">
        <v>138</v>
      </c>
      <c r="H11"/>
    </row>
    <row r="12" spans="1:15" ht="23.4" customHeight="1" outlineLevel="2">
      <c r="A12" s="134" t="s">
        <v>122</v>
      </c>
      <c r="B12" s="134" t="s">
        <v>139</v>
      </c>
      <c r="C12" s="134" t="s">
        <v>140</v>
      </c>
      <c r="D12" s="134" t="s">
        <v>125</v>
      </c>
      <c r="E12" s="134" t="s">
        <v>141</v>
      </c>
      <c r="F12" s="134" t="s">
        <v>142</v>
      </c>
      <c r="G12" s="134" t="s">
        <v>143</v>
      </c>
      <c r="H12"/>
    </row>
    <row r="13" spans="1:15" ht="23.4" customHeight="1" outlineLevel="2">
      <c r="A13" s="134" t="s">
        <v>122</v>
      </c>
      <c r="B13" s="134" t="s">
        <v>144</v>
      </c>
      <c r="C13" s="134" t="s">
        <v>145</v>
      </c>
      <c r="D13" s="134" t="s">
        <v>125</v>
      </c>
      <c r="E13" s="134" t="s">
        <v>146</v>
      </c>
      <c r="F13" s="134" t="s">
        <v>147</v>
      </c>
      <c r="G13" s="134" t="s">
        <v>148</v>
      </c>
      <c r="H13"/>
    </row>
    <row r="14" spans="1:15" ht="23.4" customHeight="1" outlineLevel="2">
      <c r="A14" s="134" t="s">
        <v>122</v>
      </c>
      <c r="B14" s="134" t="s">
        <v>149</v>
      </c>
      <c r="C14" s="134" t="s">
        <v>150</v>
      </c>
      <c r="D14" s="134" t="s">
        <v>125</v>
      </c>
      <c r="E14" s="134" t="s">
        <v>151</v>
      </c>
      <c r="F14" s="134" t="s">
        <v>152</v>
      </c>
      <c r="G14" s="134" t="s">
        <v>153</v>
      </c>
      <c r="H14"/>
    </row>
    <row r="15" spans="1:15" ht="23.4" customHeight="1" outlineLevel="2">
      <c r="A15" s="134" t="s">
        <v>122</v>
      </c>
      <c r="B15" s="134" t="s">
        <v>154</v>
      </c>
      <c r="C15" s="134" t="s">
        <v>155</v>
      </c>
      <c r="D15" s="134" t="s">
        <v>125</v>
      </c>
      <c r="E15" s="134" t="s">
        <v>156</v>
      </c>
      <c r="F15" s="134" t="s">
        <v>137</v>
      </c>
      <c r="G15" s="134" t="s">
        <v>157</v>
      </c>
      <c r="H15"/>
      <c r="I15" s="2"/>
      <c r="J15" s="2"/>
      <c r="K15" s="2"/>
      <c r="L15" s="2"/>
      <c r="M15" s="2"/>
      <c r="N15" s="2"/>
      <c r="O15" s="2"/>
    </row>
    <row r="16" spans="1:15" s="2" customFormat="1" ht="23.4" customHeight="1" outlineLevel="2">
      <c r="A16" s="134" t="s">
        <v>122</v>
      </c>
      <c r="B16" s="134" t="s">
        <v>158</v>
      </c>
      <c r="C16" s="134" t="s">
        <v>159</v>
      </c>
      <c r="D16" s="134" t="s">
        <v>125</v>
      </c>
      <c r="E16" s="134" t="s">
        <v>160</v>
      </c>
      <c r="F16" s="134" t="s">
        <v>161</v>
      </c>
      <c r="G16" s="134" t="s">
        <v>162</v>
      </c>
      <c r="H16"/>
    </row>
    <row r="17" spans="1:15" s="2" customFormat="1" ht="23.4" customHeight="1" outlineLevel="2">
      <c r="A17" s="134" t="s">
        <v>122</v>
      </c>
      <c r="B17" s="134" t="s">
        <v>163</v>
      </c>
      <c r="C17" s="134" t="s">
        <v>164</v>
      </c>
      <c r="D17" s="134" t="s">
        <v>165</v>
      </c>
      <c r="E17" s="134" t="s">
        <v>166</v>
      </c>
      <c r="F17" s="134" t="s">
        <v>152</v>
      </c>
      <c r="G17" s="134" t="s">
        <v>167</v>
      </c>
    </row>
    <row r="18" spans="1:15" s="2" customFormat="1" ht="23.4" customHeight="1" outlineLevel="2">
      <c r="A18" s="134" t="s">
        <v>122</v>
      </c>
      <c r="B18" s="134" t="s">
        <v>168</v>
      </c>
      <c r="C18" s="134" t="s">
        <v>169</v>
      </c>
      <c r="D18" s="134" t="s">
        <v>165</v>
      </c>
      <c r="E18" s="134" t="s">
        <v>170</v>
      </c>
      <c r="F18" s="134" t="s">
        <v>152</v>
      </c>
      <c r="G18" s="134" t="s">
        <v>171</v>
      </c>
    </row>
    <row r="19" spans="1:15" s="2" customFormat="1" ht="23.4" customHeight="1" outlineLevel="2">
      <c r="A19" s="134" t="s">
        <v>122</v>
      </c>
      <c r="B19" s="134" t="s">
        <v>172</v>
      </c>
      <c r="C19" s="134" t="s">
        <v>173</v>
      </c>
      <c r="D19" s="134" t="s">
        <v>165</v>
      </c>
      <c r="E19" s="134" t="s">
        <v>174</v>
      </c>
      <c r="F19" s="134" t="s">
        <v>175</v>
      </c>
      <c r="G19" s="134" t="s">
        <v>176</v>
      </c>
    </row>
    <row r="20" spans="1:15" s="2" customFormat="1" ht="23.4" customHeight="1" outlineLevel="2">
      <c r="A20" s="134" t="s">
        <v>122</v>
      </c>
      <c r="B20" s="134" t="s">
        <v>177</v>
      </c>
      <c r="C20" s="134" t="s">
        <v>178</v>
      </c>
      <c r="D20" s="134" t="s">
        <v>165</v>
      </c>
      <c r="E20" s="134" t="s">
        <v>179</v>
      </c>
      <c r="F20" s="134" t="s">
        <v>175</v>
      </c>
      <c r="G20" s="134" t="s">
        <v>180</v>
      </c>
      <c r="I20" s="1"/>
      <c r="J20" s="1"/>
      <c r="K20" s="1"/>
      <c r="L20" s="1"/>
      <c r="M20" s="1"/>
      <c r="N20" s="1"/>
      <c r="O20" s="1"/>
    </row>
    <row r="21" spans="1:15" ht="23.4" customHeight="1" outlineLevel="2">
      <c r="A21" s="134" t="s">
        <v>122</v>
      </c>
      <c r="B21" s="134" t="s">
        <v>181</v>
      </c>
      <c r="C21" s="134" t="s">
        <v>182</v>
      </c>
      <c r="D21" s="134" t="s">
        <v>125</v>
      </c>
      <c r="E21" s="134" t="s">
        <v>183</v>
      </c>
      <c r="F21" s="134" t="s">
        <v>184</v>
      </c>
      <c r="G21" s="134" t="s">
        <v>185</v>
      </c>
    </row>
    <row r="22" spans="1:15" ht="23.4" customHeight="1" outlineLevel="2">
      <c r="A22" s="134" t="s">
        <v>122</v>
      </c>
      <c r="B22" s="134" t="s">
        <v>186</v>
      </c>
      <c r="C22" s="134" t="s">
        <v>187</v>
      </c>
      <c r="D22" s="134" t="s">
        <v>125</v>
      </c>
      <c r="E22" s="134" t="s">
        <v>188</v>
      </c>
      <c r="F22" s="134" t="s">
        <v>189</v>
      </c>
      <c r="G22" s="134" t="s">
        <v>190</v>
      </c>
    </row>
    <row r="23" spans="1:15" ht="23.4" customHeight="1" outlineLevel="2">
      <c r="A23" s="134" t="s">
        <v>122</v>
      </c>
      <c r="B23" s="134" t="s">
        <v>191</v>
      </c>
      <c r="C23" s="134" t="s">
        <v>192</v>
      </c>
      <c r="D23" s="134" t="s">
        <v>125</v>
      </c>
      <c r="E23" s="134" t="s">
        <v>193</v>
      </c>
      <c r="F23" s="134" t="s">
        <v>194</v>
      </c>
      <c r="G23" s="134" t="s">
        <v>195</v>
      </c>
    </row>
    <row r="24" spans="1:15" ht="23.4" customHeight="1">
      <c r="A24" s="134" t="s">
        <v>200</v>
      </c>
      <c r="B24" s="134" t="s">
        <v>201</v>
      </c>
      <c r="C24" s="134" t="s">
        <v>202</v>
      </c>
      <c r="D24" s="134" t="s">
        <v>125</v>
      </c>
      <c r="E24" s="134" t="s">
        <v>203</v>
      </c>
      <c r="F24" s="134" t="s">
        <v>204</v>
      </c>
      <c r="G24" s="134" t="s">
        <v>205</v>
      </c>
    </row>
    <row r="25" spans="1:15" ht="23.4" customHeight="1">
      <c r="A25" s="134" t="s">
        <v>200</v>
      </c>
      <c r="B25" s="134" t="s">
        <v>206</v>
      </c>
      <c r="C25" s="134" t="s">
        <v>207</v>
      </c>
      <c r="D25" s="134" t="s">
        <v>125</v>
      </c>
      <c r="E25" s="134" t="s">
        <v>208</v>
      </c>
      <c r="F25" s="134" t="s">
        <v>209</v>
      </c>
      <c r="G25" s="134" t="s">
        <v>210</v>
      </c>
    </row>
    <row r="26" spans="1:15">
      <c r="A26" s="134" t="s">
        <v>200</v>
      </c>
      <c r="B26" s="134" t="s">
        <v>211</v>
      </c>
      <c r="C26" s="134" t="s">
        <v>212</v>
      </c>
      <c r="D26" s="134" t="s">
        <v>125</v>
      </c>
      <c r="E26" s="134" t="s">
        <v>213</v>
      </c>
      <c r="F26" s="134" t="s">
        <v>214</v>
      </c>
      <c r="G26" s="134" t="s">
        <v>215</v>
      </c>
    </row>
    <row r="27" spans="1:15" ht="42" customHeight="1">
      <c r="A27" s="134" t="s">
        <v>200</v>
      </c>
      <c r="B27" s="134" t="s">
        <v>216</v>
      </c>
      <c r="C27" s="134" t="s">
        <v>217</v>
      </c>
      <c r="D27" s="134" t="s">
        <v>165</v>
      </c>
      <c r="E27" s="134" t="s">
        <v>218</v>
      </c>
      <c r="F27" s="134" t="s">
        <v>219</v>
      </c>
      <c r="G27" s="134" t="s">
        <v>220</v>
      </c>
    </row>
    <row r="28" spans="1:15" ht="31.8" customHeight="1">
      <c r="A28" s="134" t="s">
        <v>200</v>
      </c>
      <c r="B28" s="134" t="s">
        <v>221</v>
      </c>
      <c r="C28" s="134" t="s">
        <v>219</v>
      </c>
      <c r="D28" s="134" t="s">
        <v>165</v>
      </c>
      <c r="E28" s="134" t="s">
        <v>222</v>
      </c>
      <c r="F28" s="134" t="s">
        <v>223</v>
      </c>
      <c r="G28" s="134" t="s">
        <v>224</v>
      </c>
    </row>
    <row r="29" spans="1:15" ht="31.8" customHeight="1">
      <c r="A29" s="134" t="s">
        <v>200</v>
      </c>
      <c r="B29" s="134" t="s">
        <v>225</v>
      </c>
      <c r="C29" s="134" t="s">
        <v>226</v>
      </c>
      <c r="D29" s="134" t="s">
        <v>165</v>
      </c>
      <c r="E29" s="134" t="s">
        <v>227</v>
      </c>
      <c r="F29" s="134" t="s">
        <v>228</v>
      </c>
      <c r="G29" s="134" t="s">
        <v>229</v>
      </c>
    </row>
    <row r="30" spans="1:15" ht="31.8" customHeight="1">
      <c r="A30" s="134" t="s">
        <v>200</v>
      </c>
      <c r="B30" s="134" t="s">
        <v>230</v>
      </c>
      <c r="C30" s="134" t="s">
        <v>231</v>
      </c>
      <c r="D30" s="134" t="s">
        <v>125</v>
      </c>
      <c r="E30" s="134" t="s">
        <v>232</v>
      </c>
      <c r="F30" s="134" t="s">
        <v>233</v>
      </c>
      <c r="G30" s="134" t="s">
        <v>234</v>
      </c>
    </row>
    <row r="31" spans="1:15" ht="31.8" customHeight="1">
      <c r="A31" s="134" t="s">
        <v>200</v>
      </c>
      <c r="B31" s="134" t="s">
        <v>235</v>
      </c>
      <c r="C31" s="134" t="s">
        <v>236</v>
      </c>
      <c r="D31" s="134" t="s">
        <v>165</v>
      </c>
      <c r="E31" s="134" t="s">
        <v>237</v>
      </c>
      <c r="F31" s="134" t="s">
        <v>238</v>
      </c>
      <c r="G31" s="134" t="s">
        <v>239</v>
      </c>
    </row>
    <row r="32" spans="1:15" ht="31.8" customHeight="1">
      <c r="A32" s="134" t="s">
        <v>200</v>
      </c>
      <c r="B32" s="134" t="s">
        <v>240</v>
      </c>
      <c r="C32" s="134" t="s">
        <v>241</v>
      </c>
      <c r="D32" s="134" t="s">
        <v>242</v>
      </c>
      <c r="E32" s="134" t="s">
        <v>243</v>
      </c>
      <c r="F32" s="134" t="s">
        <v>244</v>
      </c>
      <c r="G32" s="134" t="s">
        <v>245</v>
      </c>
    </row>
    <row r="33" spans="1:8" ht="31.8" customHeight="1">
      <c r="A33" s="134" t="s">
        <v>200</v>
      </c>
      <c r="B33" s="134" t="s">
        <v>246</v>
      </c>
      <c r="C33" s="134" t="s">
        <v>247</v>
      </c>
      <c r="D33" s="134" t="s">
        <v>165</v>
      </c>
      <c r="E33" s="134" t="s">
        <v>248</v>
      </c>
      <c r="F33" s="134" t="s">
        <v>249</v>
      </c>
      <c r="G33" s="134" t="s">
        <v>250</v>
      </c>
    </row>
    <row r="34" spans="1:8" ht="31.8" customHeight="1">
      <c r="A34" s="134" t="s">
        <v>200</v>
      </c>
      <c r="B34" s="134" t="s">
        <v>251</v>
      </c>
      <c r="C34" s="134" t="s">
        <v>252</v>
      </c>
      <c r="D34" s="134" t="s">
        <v>125</v>
      </c>
      <c r="E34" s="134" t="s">
        <v>253</v>
      </c>
      <c r="F34" s="134" t="s">
        <v>254</v>
      </c>
      <c r="G34" s="134" t="s">
        <v>255</v>
      </c>
    </row>
    <row r="35" spans="1:8" ht="31.8" customHeight="1">
      <c r="A35" s="134" t="s">
        <v>200</v>
      </c>
      <c r="B35" s="134" t="s">
        <v>256</v>
      </c>
      <c r="C35" s="134" t="s">
        <v>257</v>
      </c>
      <c r="D35" s="134" t="s">
        <v>125</v>
      </c>
      <c r="E35" s="134" t="s">
        <v>258</v>
      </c>
      <c r="F35" s="134" t="s">
        <v>214</v>
      </c>
      <c r="G35" s="134" t="s">
        <v>259</v>
      </c>
    </row>
    <row r="36" spans="1:8" ht="31.8" customHeight="1"/>
    <row r="37" spans="1:8" ht="31.8" customHeight="1"/>
    <row r="38" spans="1:8" ht="31.8" customHeight="1"/>
    <row r="39" spans="1:8" ht="31.8" customHeight="1"/>
    <row r="40" spans="1:8" ht="31.8" customHeight="1"/>
    <row r="41" spans="1:8" ht="31.8" customHeight="1"/>
    <row r="42" spans="1:8" ht="31.8" customHeight="1"/>
    <row r="43" spans="1:8" ht="31.8" customHeight="1"/>
    <row r="44" spans="1:8" ht="31.8" customHeight="1"/>
    <row r="45" spans="1:8" ht="31.8" customHeight="1">
      <c r="H45"/>
    </row>
    <row r="46" spans="1:8" ht="31.8" customHeight="1">
      <c r="H46"/>
    </row>
    <row r="47" spans="1:8" ht="31.8" customHeight="1">
      <c r="H47"/>
    </row>
    <row r="48" spans="1:8" ht="31.8" customHeight="1">
      <c r="H48"/>
    </row>
    <row r="49" spans="1:8" ht="31.8" customHeight="1">
      <c r="H49"/>
    </row>
    <row r="50" spans="1:8" ht="31.8" customHeight="1">
      <c r="H50"/>
    </row>
    <row r="51" spans="1:8" ht="31.8" customHeight="1">
      <c r="H51"/>
    </row>
    <row r="52" spans="1:8" ht="31.8" customHeight="1">
      <c r="H52"/>
    </row>
    <row r="53" spans="1:8" ht="31.8" customHeight="1">
      <c r="H53"/>
    </row>
    <row r="54" spans="1:8" ht="31.8" customHeight="1">
      <c r="H54"/>
    </row>
    <row r="55" spans="1:8">
      <c r="A55" s="132"/>
      <c r="B55" s="132"/>
      <c r="C55" s="132"/>
      <c r="D55" s="132"/>
      <c r="E55" s="133"/>
      <c r="F55" s="133"/>
      <c r="G55" s="133"/>
      <c r="H55"/>
    </row>
    <row r="56" spans="1:8">
      <c r="A56"/>
      <c r="B56"/>
      <c r="C56"/>
      <c r="D56"/>
      <c r="E56"/>
      <c r="F56"/>
      <c r="G56"/>
      <c r="H56"/>
    </row>
    <row r="57" spans="1:8">
      <c r="A57"/>
      <c r="B57"/>
      <c r="C57"/>
      <c r="D57"/>
      <c r="E57"/>
      <c r="F57"/>
      <c r="G57"/>
      <c r="H57"/>
    </row>
    <row r="58" spans="1:8">
      <c r="A58"/>
      <c r="B58"/>
      <c r="C58"/>
      <c r="D58"/>
      <c r="E58"/>
      <c r="F58"/>
      <c r="G58"/>
      <c r="H58"/>
    </row>
    <row r="59" spans="1:8">
      <c r="A59"/>
      <c r="B59"/>
      <c r="C59"/>
      <c r="D59"/>
      <c r="E59"/>
      <c r="F59"/>
      <c r="G59"/>
      <c r="H59"/>
    </row>
    <row r="60" spans="1:8">
      <c r="A60"/>
      <c r="B60"/>
      <c r="C60"/>
      <c r="D60"/>
      <c r="E60"/>
      <c r="F60"/>
      <c r="G60"/>
      <c r="H60"/>
    </row>
  </sheetData>
  <mergeCells count="3">
    <mergeCell ref="G1:H1"/>
    <mergeCell ref="G2:H2"/>
    <mergeCell ref="G3:H3"/>
  </mergeCells>
  <phoneticPr fontId="94" type="noConversion"/>
  <printOptions horizontalCentered="1"/>
  <pageMargins left="0.23622047244094491" right="0.23622047244094491" top="0.23622047244094491" bottom="0.23622047244094491" header="0" footer="0"/>
  <pageSetup paperSize="9" scale="6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45"/>
  <sheetViews>
    <sheetView showGridLines="0" topLeftCell="A16" zoomScale="80" zoomScaleNormal="80" workbookViewId="0">
      <selection activeCell="J21" sqref="J21"/>
    </sheetView>
  </sheetViews>
  <sheetFormatPr baseColWidth="10" defaultColWidth="11.44140625" defaultRowHeight="13.2"/>
  <cols>
    <col min="1" max="1" width="1.6640625" style="1" customWidth="1"/>
    <col min="2" max="2" width="14" style="1" customWidth="1"/>
    <col min="3" max="3" width="33.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2" width="11.44140625" style="1"/>
    <col min="13" max="13" width="16.33203125" style="1" customWidth="1"/>
    <col min="14" max="16384" width="11.44140625" style="1"/>
  </cols>
  <sheetData>
    <row r="1" spans="1:14">
      <c r="A1" s="14"/>
      <c r="B1" s="143" t="str">
        <f>"PLANNING INITIAL "</f>
        <v xml:space="preserve">PLANNING INITIAL </v>
      </c>
      <c r="C1" s="144"/>
      <c r="D1" s="145"/>
      <c r="E1" s="145"/>
      <c r="F1" s="145"/>
      <c r="G1" s="145"/>
      <c r="H1" s="145"/>
      <c r="I1" s="145"/>
      <c r="J1" s="146"/>
      <c r="K1" s="153" t="str">
        <f>'1a-Identification Projet'!$L$1</f>
        <v>Ref; PD 002</v>
      </c>
      <c r="L1" s="153"/>
      <c r="M1" s="154"/>
    </row>
    <row r="2" spans="1:14" s="14" customFormat="1" ht="12.75" customHeight="1">
      <c r="B2" s="147"/>
      <c r="C2" s="148"/>
      <c r="D2" s="148"/>
      <c r="E2" s="148"/>
      <c r="F2" s="148"/>
      <c r="G2" s="148"/>
      <c r="H2" s="148"/>
      <c r="I2" s="148"/>
      <c r="J2" s="149"/>
      <c r="K2" s="155">
        <f>'1a-Identification Projet'!$L$2</f>
        <v>43524</v>
      </c>
      <c r="L2" s="156"/>
      <c r="M2" s="157"/>
    </row>
    <row r="3" spans="1:14" s="14" customFormat="1" ht="12.75" customHeight="1" thickBot="1">
      <c r="B3" s="150"/>
      <c r="C3" s="151"/>
      <c r="D3" s="151"/>
      <c r="E3" s="151"/>
      <c r="F3" s="151"/>
      <c r="G3" s="151"/>
      <c r="H3" s="151"/>
      <c r="I3" s="151"/>
      <c r="J3" s="152"/>
      <c r="K3" s="158" t="str">
        <f>'1a-Identification Projet'!$L$3</f>
        <v>Entreprise de prototypage de Toulouse</v>
      </c>
      <c r="L3" s="159"/>
      <c r="M3" s="160"/>
    </row>
    <row r="4" spans="1:14" s="14" customFormat="1" ht="12.75" customHeight="1">
      <c r="A4" s="1"/>
      <c r="B4" s="1"/>
      <c r="C4" s="1"/>
      <c r="D4" s="1"/>
      <c r="E4" s="15"/>
      <c r="F4" s="15"/>
      <c r="G4" s="15"/>
      <c r="H4" s="15"/>
      <c r="I4" s="15"/>
      <c r="J4" s="15"/>
      <c r="K4" s="16"/>
      <c r="L4" s="16"/>
      <c r="M4" s="1"/>
    </row>
    <row r="5" spans="1:14" ht="13.5" customHeight="1">
      <c r="E5" s="15"/>
      <c r="F5" s="15"/>
      <c r="G5" s="15"/>
      <c r="H5" s="15"/>
    </row>
    <row r="6" spans="1:14" ht="13.5" customHeight="1">
      <c r="B6"/>
      <c r="C6"/>
      <c r="D6"/>
      <c r="E6"/>
      <c r="F6"/>
      <c r="G6"/>
      <c r="H6"/>
    </row>
    <row r="7" spans="1:14">
      <c r="B7"/>
      <c r="C7"/>
      <c r="D7"/>
      <c r="E7"/>
      <c r="F7"/>
      <c r="G7"/>
      <c r="H7"/>
    </row>
    <row r="8" spans="1:14">
      <c r="B8"/>
      <c r="C8"/>
      <c r="D8"/>
      <c r="E8"/>
      <c r="F8"/>
      <c r="G8"/>
      <c r="H8"/>
    </row>
    <row r="9" spans="1:14">
      <c r="B9"/>
      <c r="C9"/>
      <c r="D9"/>
      <c r="E9"/>
      <c r="F9"/>
      <c r="G9"/>
      <c r="H9"/>
    </row>
    <row r="10" spans="1:14" s="75" customFormat="1">
      <c r="B10" s="161" t="s">
        <v>345</v>
      </c>
      <c r="C10" s="162"/>
      <c r="D10" s="162"/>
      <c r="E10" s="162"/>
      <c r="F10" s="162"/>
      <c r="G10" s="162"/>
      <c r="H10" s="163"/>
      <c r="I10" s="1"/>
      <c r="J10" s="1"/>
      <c r="K10" s="1"/>
      <c r="L10" s="1"/>
      <c r="M10" s="1"/>
      <c r="N10" s="1"/>
    </row>
    <row r="11" spans="1:14">
      <c r="B11" s="136" t="s">
        <v>197</v>
      </c>
      <c r="C11" s="136" t="s">
        <v>59</v>
      </c>
      <c r="D11" s="136" t="s">
        <v>260</v>
      </c>
      <c r="E11" s="136" t="s">
        <v>261</v>
      </c>
      <c r="F11" s="136" t="s">
        <v>60</v>
      </c>
      <c r="G11" s="136" t="s">
        <v>262</v>
      </c>
      <c r="H11" s="136" t="s">
        <v>263</v>
      </c>
    </row>
    <row r="12" spans="1:14" ht="26.4">
      <c r="B12" s="137" t="s">
        <v>264</v>
      </c>
      <c r="C12" s="137" t="s">
        <v>265</v>
      </c>
      <c r="D12" s="137" t="s">
        <v>266</v>
      </c>
      <c r="E12" s="137" t="s">
        <v>266</v>
      </c>
      <c r="F12" s="137" t="s">
        <v>267</v>
      </c>
      <c r="G12" s="137" t="s">
        <v>268</v>
      </c>
      <c r="H12" s="137">
        <v>6</v>
      </c>
    </row>
    <row r="13" spans="1:14">
      <c r="B13" s="137" t="s">
        <v>269</v>
      </c>
      <c r="C13" s="137" t="s">
        <v>270</v>
      </c>
      <c r="D13" s="137" t="s">
        <v>266</v>
      </c>
      <c r="E13" s="137" t="s">
        <v>271</v>
      </c>
      <c r="F13" s="137" t="s">
        <v>264</v>
      </c>
      <c r="G13" s="137" t="s">
        <v>272</v>
      </c>
      <c r="H13" s="137">
        <v>20</v>
      </c>
    </row>
    <row r="14" spans="1:14">
      <c r="B14" s="137" t="s">
        <v>273</v>
      </c>
      <c r="C14" s="137" t="s">
        <v>274</v>
      </c>
      <c r="D14" s="137" t="s">
        <v>271</v>
      </c>
      <c r="E14" s="137" t="s">
        <v>275</v>
      </c>
      <c r="F14" s="137" t="s">
        <v>269</v>
      </c>
      <c r="G14" s="137" t="s">
        <v>276</v>
      </c>
      <c r="H14" s="137">
        <v>14</v>
      </c>
    </row>
    <row r="15" spans="1:14">
      <c r="B15" s="137" t="s">
        <v>277</v>
      </c>
      <c r="C15" s="137" t="s">
        <v>278</v>
      </c>
      <c r="D15" s="137" t="s">
        <v>275</v>
      </c>
      <c r="E15" s="137" t="s">
        <v>279</v>
      </c>
      <c r="F15" s="137" t="s">
        <v>269</v>
      </c>
      <c r="G15" s="137" t="s">
        <v>280</v>
      </c>
      <c r="H15" s="137">
        <v>10</v>
      </c>
    </row>
    <row r="16" spans="1:14">
      <c r="B16" s="195" t="s">
        <v>346</v>
      </c>
      <c r="C16" s="196"/>
      <c r="D16" s="196"/>
      <c r="E16" s="196"/>
      <c r="F16" s="196"/>
      <c r="G16" s="196"/>
      <c r="H16" s="197"/>
    </row>
    <row r="17" spans="2:14">
      <c r="B17" s="137" t="s">
        <v>347</v>
      </c>
      <c r="C17" s="137" t="s">
        <v>348</v>
      </c>
      <c r="D17" s="137" t="s">
        <v>349</v>
      </c>
      <c r="E17" s="137" t="s">
        <v>349</v>
      </c>
      <c r="F17" s="137" t="s">
        <v>277</v>
      </c>
      <c r="G17" s="137" t="s">
        <v>350</v>
      </c>
      <c r="H17" s="137">
        <v>6</v>
      </c>
    </row>
    <row r="18" spans="2:14">
      <c r="B18" s="137" t="s">
        <v>316</v>
      </c>
      <c r="C18" s="137" t="s">
        <v>351</v>
      </c>
      <c r="D18" s="137" t="s">
        <v>349</v>
      </c>
      <c r="E18" s="137" t="s">
        <v>352</v>
      </c>
      <c r="F18" s="137" t="s">
        <v>347</v>
      </c>
      <c r="G18" s="137" t="s">
        <v>353</v>
      </c>
      <c r="H18" s="137">
        <v>14</v>
      </c>
    </row>
    <row r="19" spans="2:14">
      <c r="B19" s="137" t="s">
        <v>354</v>
      </c>
      <c r="C19" s="137" t="s">
        <v>355</v>
      </c>
      <c r="D19" s="137" t="s">
        <v>352</v>
      </c>
      <c r="E19" s="137" t="s">
        <v>352</v>
      </c>
      <c r="F19" s="137" t="s">
        <v>347</v>
      </c>
      <c r="G19" s="137" t="s">
        <v>276</v>
      </c>
      <c r="H19" s="137">
        <v>8</v>
      </c>
    </row>
    <row r="20" spans="2:14" s="75" customFormat="1">
      <c r="B20" s="137" t="s">
        <v>356</v>
      </c>
      <c r="C20" s="137" t="s">
        <v>357</v>
      </c>
      <c r="D20" s="137" t="s">
        <v>352</v>
      </c>
      <c r="E20" s="137" t="s">
        <v>358</v>
      </c>
      <c r="F20" s="137" t="s">
        <v>354</v>
      </c>
      <c r="G20" s="137" t="s">
        <v>285</v>
      </c>
      <c r="H20" s="137">
        <v>16</v>
      </c>
      <c r="I20" s="1"/>
      <c r="J20" s="1"/>
      <c r="K20" s="1"/>
      <c r="L20" s="1"/>
      <c r="M20" s="1"/>
      <c r="N20" s="1"/>
    </row>
    <row r="21" spans="2:14">
      <c r="B21" s="137" t="s">
        <v>284</v>
      </c>
      <c r="C21" s="137" t="s">
        <v>359</v>
      </c>
      <c r="D21" s="137" t="s">
        <v>358</v>
      </c>
      <c r="E21" s="137" t="s">
        <v>360</v>
      </c>
      <c r="F21" s="137" t="s">
        <v>356</v>
      </c>
      <c r="G21" s="137" t="s">
        <v>361</v>
      </c>
      <c r="H21" s="137">
        <v>18</v>
      </c>
    </row>
    <row r="22" spans="2:14">
      <c r="B22" s="198" t="s">
        <v>365</v>
      </c>
      <c r="C22" s="199"/>
      <c r="D22" s="199"/>
      <c r="E22" s="199"/>
      <c r="F22" s="199"/>
      <c r="G22" s="199"/>
      <c r="H22" s="200"/>
    </row>
    <row r="23" spans="2:14" ht="26.4">
      <c r="B23" s="137" t="s">
        <v>299</v>
      </c>
      <c r="C23" s="137" t="s">
        <v>300</v>
      </c>
      <c r="D23" s="137" t="s">
        <v>301</v>
      </c>
      <c r="E23" s="137" t="s">
        <v>301</v>
      </c>
      <c r="F23" s="137" t="s">
        <v>284</v>
      </c>
      <c r="G23" s="137" t="s">
        <v>302</v>
      </c>
      <c r="H23" s="137">
        <v>10</v>
      </c>
    </row>
    <row r="24" spans="2:14" ht="26.4">
      <c r="B24" s="137" t="s">
        <v>303</v>
      </c>
      <c r="C24" s="137" t="s">
        <v>130</v>
      </c>
      <c r="D24" s="137" t="s">
        <v>301</v>
      </c>
      <c r="E24" s="137" t="s">
        <v>304</v>
      </c>
      <c r="F24" s="137" t="s">
        <v>299</v>
      </c>
      <c r="G24" s="137" t="s">
        <v>302</v>
      </c>
      <c r="H24" s="137">
        <v>10</v>
      </c>
    </row>
    <row r="25" spans="2:14">
      <c r="B25" s="137" t="s">
        <v>305</v>
      </c>
      <c r="C25" s="137" t="s">
        <v>306</v>
      </c>
      <c r="D25" s="137" t="s">
        <v>304</v>
      </c>
      <c r="E25" s="137" t="s">
        <v>307</v>
      </c>
      <c r="F25" s="137" t="s">
        <v>303</v>
      </c>
      <c r="G25" s="137" t="s">
        <v>308</v>
      </c>
      <c r="H25" s="137">
        <v>14</v>
      </c>
    </row>
    <row r="26" spans="2:14" ht="26.4">
      <c r="B26" s="137" t="s">
        <v>309</v>
      </c>
      <c r="C26" s="137" t="s">
        <v>310</v>
      </c>
      <c r="D26" s="137" t="s">
        <v>307</v>
      </c>
      <c r="E26" s="137" t="s">
        <v>311</v>
      </c>
      <c r="F26" s="137" t="s">
        <v>284</v>
      </c>
      <c r="G26" s="137" t="s">
        <v>312</v>
      </c>
      <c r="H26" s="137">
        <v>10</v>
      </c>
    </row>
    <row r="27" spans="2:14">
      <c r="B27" s="198" t="s">
        <v>366</v>
      </c>
      <c r="C27" s="199"/>
      <c r="D27" s="199"/>
      <c r="E27" s="199"/>
      <c r="F27" s="199"/>
      <c r="G27" s="199"/>
      <c r="H27" s="200"/>
    </row>
    <row r="28" spans="2:14">
      <c r="B28" s="137" t="s">
        <v>281</v>
      </c>
      <c r="C28" s="137" t="s">
        <v>282</v>
      </c>
      <c r="D28" s="137" t="s">
        <v>283</v>
      </c>
      <c r="E28" s="137" t="s">
        <v>283</v>
      </c>
      <c r="F28" s="137" t="s">
        <v>284</v>
      </c>
      <c r="G28" s="137" t="s">
        <v>285</v>
      </c>
      <c r="H28" s="137">
        <v>8</v>
      </c>
    </row>
    <row r="29" spans="2:14" ht="26.4">
      <c r="B29" s="137" t="s">
        <v>286</v>
      </c>
      <c r="C29" s="137" t="s">
        <v>155</v>
      </c>
      <c r="D29" s="137" t="s">
        <v>283</v>
      </c>
      <c r="E29" s="137" t="s">
        <v>287</v>
      </c>
      <c r="F29" s="137" t="s">
        <v>281</v>
      </c>
      <c r="G29" s="137" t="s">
        <v>288</v>
      </c>
      <c r="H29" s="137">
        <v>12</v>
      </c>
    </row>
    <row r="30" spans="2:14">
      <c r="B30" s="137" t="s">
        <v>289</v>
      </c>
      <c r="C30" s="137" t="s">
        <v>159</v>
      </c>
      <c r="D30" s="137" t="s">
        <v>287</v>
      </c>
      <c r="E30" s="137" t="s">
        <v>290</v>
      </c>
      <c r="F30" s="137" t="s">
        <v>286</v>
      </c>
      <c r="G30" s="137" t="s">
        <v>291</v>
      </c>
      <c r="H30" s="137">
        <v>16</v>
      </c>
    </row>
    <row r="31" spans="2:14">
      <c r="B31" s="137" t="s">
        <v>292</v>
      </c>
      <c r="C31" s="137" t="s">
        <v>293</v>
      </c>
      <c r="D31" s="137" t="s">
        <v>290</v>
      </c>
      <c r="E31" s="137" t="s">
        <v>290</v>
      </c>
      <c r="F31" s="137" t="s">
        <v>286</v>
      </c>
      <c r="G31" s="137" t="s">
        <v>294</v>
      </c>
      <c r="H31" s="137">
        <v>8</v>
      </c>
    </row>
    <row r="32" spans="2:14">
      <c r="B32" s="137" t="s">
        <v>295</v>
      </c>
      <c r="C32" s="137" t="s">
        <v>296</v>
      </c>
      <c r="D32" s="137" t="s">
        <v>290</v>
      </c>
      <c r="E32" s="137" t="s">
        <v>297</v>
      </c>
      <c r="F32" s="137" t="s">
        <v>292</v>
      </c>
      <c r="G32" s="137" t="s">
        <v>298</v>
      </c>
      <c r="H32" s="137">
        <v>10</v>
      </c>
      <c r="N32" s="138" t="s">
        <v>362</v>
      </c>
    </row>
    <row r="33" spans="2:8">
      <c r="B33" s="198" t="s">
        <v>363</v>
      </c>
      <c r="C33" s="199"/>
      <c r="D33" s="199"/>
      <c r="E33" s="199"/>
      <c r="F33" s="199"/>
      <c r="G33" s="199"/>
      <c r="H33" s="200"/>
    </row>
    <row r="34" spans="2:8">
      <c r="B34" s="137" t="s">
        <v>313</v>
      </c>
      <c r="C34" s="137" t="s">
        <v>314</v>
      </c>
      <c r="D34" s="137" t="s">
        <v>315</v>
      </c>
      <c r="E34" s="137" t="s">
        <v>315</v>
      </c>
      <c r="F34" s="137" t="s">
        <v>316</v>
      </c>
      <c r="G34" s="137" t="s">
        <v>317</v>
      </c>
      <c r="H34" s="137">
        <v>6</v>
      </c>
    </row>
    <row r="35" spans="2:8">
      <c r="B35" s="137" t="s">
        <v>318</v>
      </c>
      <c r="C35" s="137" t="s">
        <v>319</v>
      </c>
      <c r="D35" s="137" t="s">
        <v>315</v>
      </c>
      <c r="E35" s="137" t="s">
        <v>320</v>
      </c>
      <c r="F35" s="137" t="s">
        <v>313</v>
      </c>
      <c r="G35" s="137" t="s">
        <v>317</v>
      </c>
      <c r="H35" s="137">
        <v>10</v>
      </c>
    </row>
    <row r="36" spans="2:8">
      <c r="B36" s="137" t="s">
        <v>321</v>
      </c>
      <c r="C36" s="137" t="s">
        <v>322</v>
      </c>
      <c r="D36" s="137" t="s">
        <v>320</v>
      </c>
      <c r="E36" s="137" t="s">
        <v>320</v>
      </c>
      <c r="F36" s="137" t="s">
        <v>318</v>
      </c>
      <c r="G36" s="137" t="s">
        <v>317</v>
      </c>
      <c r="H36" s="137">
        <v>8</v>
      </c>
    </row>
    <row r="37" spans="2:8">
      <c r="B37" s="137" t="s">
        <v>323</v>
      </c>
      <c r="C37" s="137" t="s">
        <v>324</v>
      </c>
      <c r="D37" s="137" t="s">
        <v>320</v>
      </c>
      <c r="E37" s="137" t="s">
        <v>325</v>
      </c>
      <c r="F37" s="137" t="s">
        <v>318</v>
      </c>
      <c r="G37" s="137" t="s">
        <v>317</v>
      </c>
      <c r="H37" s="137">
        <v>14</v>
      </c>
    </row>
    <row r="38" spans="2:8">
      <c r="B38" s="137" t="s">
        <v>326</v>
      </c>
      <c r="C38" s="137" t="s">
        <v>327</v>
      </c>
      <c r="D38" s="137" t="s">
        <v>325</v>
      </c>
      <c r="E38" s="137" t="s">
        <v>328</v>
      </c>
      <c r="F38" s="137" t="s">
        <v>323</v>
      </c>
      <c r="G38" s="137" t="s">
        <v>317</v>
      </c>
      <c r="H38" s="137">
        <v>18</v>
      </c>
    </row>
    <row r="39" spans="2:8">
      <c r="B39" s="137" t="s">
        <v>329</v>
      </c>
      <c r="C39" s="137" t="s">
        <v>182</v>
      </c>
      <c r="D39" s="137" t="s">
        <v>328</v>
      </c>
      <c r="E39" s="137" t="s">
        <v>328</v>
      </c>
      <c r="F39" s="137" t="s">
        <v>326</v>
      </c>
      <c r="G39" s="137" t="s">
        <v>330</v>
      </c>
      <c r="H39" s="137">
        <v>10</v>
      </c>
    </row>
    <row r="40" spans="2:8">
      <c r="B40" s="192" t="s">
        <v>364</v>
      </c>
      <c r="C40" s="193"/>
      <c r="D40" s="193"/>
      <c r="E40" s="193"/>
      <c r="F40" s="193"/>
      <c r="G40" s="193"/>
      <c r="H40" s="194"/>
    </row>
    <row r="41" spans="2:8">
      <c r="B41" s="137" t="s">
        <v>331</v>
      </c>
      <c r="C41" s="137" t="s">
        <v>236</v>
      </c>
      <c r="D41" s="137" t="s">
        <v>332</v>
      </c>
      <c r="E41" s="137" t="s">
        <v>332</v>
      </c>
      <c r="F41" s="137" t="s">
        <v>295</v>
      </c>
      <c r="G41" s="137" t="s">
        <v>333</v>
      </c>
      <c r="H41" s="137">
        <v>10</v>
      </c>
    </row>
    <row r="42" spans="2:8">
      <c r="B42" s="137" t="s">
        <v>334</v>
      </c>
      <c r="C42" s="137" t="s">
        <v>231</v>
      </c>
      <c r="D42" s="137" t="s">
        <v>335</v>
      </c>
      <c r="E42" s="137" t="s">
        <v>335</v>
      </c>
      <c r="F42" s="137" t="s">
        <v>331</v>
      </c>
      <c r="G42" s="137" t="s">
        <v>336</v>
      </c>
      <c r="H42" s="137">
        <v>10</v>
      </c>
    </row>
    <row r="43" spans="2:8">
      <c r="B43" s="137" t="s">
        <v>337</v>
      </c>
      <c r="C43" s="137" t="s">
        <v>207</v>
      </c>
      <c r="D43" s="137" t="s">
        <v>335</v>
      </c>
      <c r="E43" s="137" t="s">
        <v>338</v>
      </c>
      <c r="F43" s="137" t="s">
        <v>334</v>
      </c>
      <c r="G43" s="137" t="s">
        <v>339</v>
      </c>
      <c r="H43" s="137">
        <v>8</v>
      </c>
    </row>
    <row r="44" spans="2:8">
      <c r="B44" s="137" t="s">
        <v>340</v>
      </c>
      <c r="C44" s="137" t="s">
        <v>341</v>
      </c>
      <c r="D44" s="137" t="s">
        <v>338</v>
      </c>
      <c r="E44" s="137" t="s">
        <v>342</v>
      </c>
      <c r="F44" s="137" t="s">
        <v>334</v>
      </c>
      <c r="G44" s="137" t="s">
        <v>226</v>
      </c>
      <c r="H44" s="137">
        <v>10</v>
      </c>
    </row>
    <row r="45" spans="2:8">
      <c r="B45" s="137" t="s">
        <v>343</v>
      </c>
      <c r="C45" s="137" t="s">
        <v>344</v>
      </c>
      <c r="D45" s="137" t="s">
        <v>338</v>
      </c>
      <c r="E45" s="137" t="s">
        <v>342</v>
      </c>
      <c r="F45" s="137" t="s">
        <v>329</v>
      </c>
      <c r="G45" s="137" t="s">
        <v>330</v>
      </c>
      <c r="H45" s="137">
        <v>10</v>
      </c>
    </row>
  </sheetData>
  <sheetProtection selectLockedCells="1" selectUnlockedCells="1"/>
  <mergeCells count="10">
    <mergeCell ref="B1:J3"/>
    <mergeCell ref="K1:M1"/>
    <mergeCell ref="K2:M2"/>
    <mergeCell ref="K3:M3"/>
    <mergeCell ref="B40:H40"/>
    <mergeCell ref="B10:H10"/>
    <mergeCell ref="B16:H16"/>
    <mergeCell ref="B22:H22"/>
    <mergeCell ref="B27:H27"/>
    <mergeCell ref="B33:H33"/>
  </mergeCells>
  <pageMargins left="0.23622047244094491" right="0.23622047244094491" top="0.23622047244094491" bottom="0.23622047244094491" header="0" footer="0"/>
  <pageSetup paperSize="9" scale="70" firstPageNumber="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A1:I22"/>
  <sheetViews>
    <sheetView showGridLines="0" showZeros="0" topLeftCell="A4" zoomScale="80" zoomScaleNormal="80" workbookViewId="0">
      <selection activeCell="N17" sqref="N17"/>
    </sheetView>
  </sheetViews>
  <sheetFormatPr baseColWidth="10" defaultColWidth="11.44140625" defaultRowHeight="13.2"/>
  <cols>
    <col min="1" max="1" width="36.88671875" style="1" customWidth="1"/>
    <col min="2" max="2" width="60.88671875" style="1" customWidth="1"/>
    <col min="3" max="3" width="24.44140625" style="1" customWidth="1"/>
    <col min="4" max="4" width="11.6640625" style="1" customWidth="1"/>
    <col min="5" max="5" width="11" style="1" customWidth="1"/>
    <col min="6" max="6" width="13.33203125" style="1" customWidth="1"/>
    <col min="7" max="8" width="13" style="1" customWidth="1"/>
    <col min="9" max="9" width="12.44140625" style="1" customWidth="1"/>
    <col min="10" max="10" width="20" style="1" customWidth="1"/>
    <col min="11" max="16384" width="11.44140625" style="1"/>
  </cols>
  <sheetData>
    <row r="1" spans="1:9" ht="21" customHeight="1">
      <c r="A1" s="210"/>
      <c r="B1" s="211"/>
      <c r="C1" s="211"/>
      <c r="D1" s="211"/>
      <c r="E1" s="211"/>
      <c r="F1" s="201" t="str">
        <f>'1a-Identification Projet'!$L1</f>
        <v>Ref; PD 002</v>
      </c>
      <c r="G1" s="202"/>
      <c r="H1" s="202"/>
      <c r="I1" s="203"/>
    </row>
    <row r="2" spans="1:9" ht="12.75" customHeight="1">
      <c r="A2" s="212"/>
      <c r="B2" s="213"/>
      <c r="C2" s="213"/>
      <c r="D2" s="213"/>
      <c r="E2" s="213"/>
      <c r="F2" s="204">
        <f>'1a-Identification Projet'!$L2</f>
        <v>43524</v>
      </c>
      <c r="G2" s="205"/>
      <c r="H2" s="205"/>
      <c r="I2" s="206"/>
    </row>
    <row r="3" spans="1:9" ht="12.75" customHeight="1" thickBot="1">
      <c r="A3" s="214"/>
      <c r="B3" s="215"/>
      <c r="C3" s="215"/>
      <c r="D3" s="215"/>
      <c r="E3" s="215"/>
      <c r="F3" s="207" t="str">
        <f>'1a-Identification Projet'!$L3</f>
        <v>Entreprise de prototypage de Toulouse</v>
      </c>
      <c r="G3" s="208"/>
      <c r="H3" s="208"/>
      <c r="I3" s="209"/>
    </row>
    <row r="4" spans="1:9">
      <c r="F4" s="29"/>
      <c r="G4" s="29"/>
      <c r="H4" s="29"/>
      <c r="I4" s="29"/>
    </row>
    <row r="5" spans="1:9" ht="13.8" thickBot="1">
      <c r="F5" s="29"/>
      <c r="G5" s="29"/>
      <c r="H5" s="29"/>
      <c r="I5" s="29"/>
    </row>
    <row r="6" spans="1:9" ht="27.6">
      <c r="A6" s="50" t="s">
        <v>11</v>
      </c>
      <c r="B6" s="51" t="s">
        <v>12</v>
      </c>
      <c r="C6" s="51" t="s">
        <v>83</v>
      </c>
      <c r="D6" s="51" t="s">
        <v>13</v>
      </c>
      <c r="E6" s="51" t="s">
        <v>22</v>
      </c>
      <c r="F6" s="51" t="s">
        <v>15</v>
      </c>
      <c r="G6" s="51" t="s">
        <v>74</v>
      </c>
      <c r="H6" s="51" t="s">
        <v>16</v>
      </c>
      <c r="I6" s="52" t="s">
        <v>0</v>
      </c>
    </row>
    <row r="7" spans="1:9" ht="105.6">
      <c r="A7" s="129" t="s">
        <v>81</v>
      </c>
      <c r="B7" s="130" t="s">
        <v>113</v>
      </c>
      <c r="C7" s="125">
        <v>12</v>
      </c>
      <c r="D7" s="126">
        <v>0.3</v>
      </c>
      <c r="E7" s="125">
        <f>C7*D7</f>
        <v>3.5999999999999996</v>
      </c>
      <c r="F7" s="127">
        <v>43466</v>
      </c>
      <c r="G7" s="127"/>
      <c r="H7" s="127">
        <v>43520</v>
      </c>
      <c r="I7" s="131" t="s">
        <v>57</v>
      </c>
    </row>
    <row r="8" spans="1:9" ht="79.2">
      <c r="A8" s="59" t="s">
        <v>82</v>
      </c>
      <c r="B8" s="61" t="s">
        <v>85</v>
      </c>
      <c r="C8" s="62">
        <v>3</v>
      </c>
      <c r="D8" s="63">
        <v>0.2</v>
      </c>
      <c r="E8" s="62">
        <f>C8*D8</f>
        <v>0.60000000000000009</v>
      </c>
      <c r="F8" s="64">
        <v>43466</v>
      </c>
      <c r="G8" s="64"/>
      <c r="H8" s="64"/>
      <c r="I8" s="65" t="s">
        <v>86</v>
      </c>
    </row>
    <row r="9" spans="1:9" ht="81.75" customHeight="1">
      <c r="A9" s="60"/>
      <c r="B9" s="61"/>
      <c r="C9" s="62"/>
      <c r="D9" s="63"/>
      <c r="E9" s="62">
        <f>C9*D9</f>
        <v>0</v>
      </c>
      <c r="F9" s="64"/>
      <c r="G9" s="64"/>
      <c r="H9" s="64"/>
      <c r="I9" s="65"/>
    </row>
    <row r="10" spans="1:9" ht="21" customHeight="1">
      <c r="A10" s="60"/>
      <c r="B10" s="61"/>
      <c r="C10" s="62"/>
      <c r="D10" s="63"/>
      <c r="E10" s="62">
        <f>C10*D10</f>
        <v>0</v>
      </c>
      <c r="F10" s="64"/>
      <c r="G10" s="64"/>
      <c r="H10" s="64"/>
      <c r="I10" s="65"/>
    </row>
    <row r="11" spans="1:9" ht="21" customHeight="1">
      <c r="A11" s="60"/>
      <c r="B11" s="61"/>
      <c r="C11" s="62"/>
      <c r="D11" s="63"/>
      <c r="E11" s="62">
        <f>C11*D11</f>
        <v>0</v>
      </c>
      <c r="F11" s="64"/>
      <c r="G11" s="64"/>
      <c r="H11" s="64"/>
      <c r="I11" s="65"/>
    </row>
    <row r="12" spans="1:9" ht="21" customHeight="1">
      <c r="A12" s="66"/>
      <c r="B12" s="67" t="s">
        <v>18</v>
      </c>
      <c r="C12" s="62">
        <f>SUM(C7:C11)</f>
        <v>15</v>
      </c>
      <c r="D12" s="61"/>
      <c r="E12" s="62">
        <f>SUM(E7:E11)</f>
        <v>4.1999999999999993</v>
      </c>
      <c r="F12" s="68"/>
      <c r="G12" s="68"/>
      <c r="H12" s="69"/>
      <c r="I12" s="65"/>
    </row>
    <row r="13" spans="1:9" s="75" customFormat="1" ht="21" customHeight="1">
      <c r="A13" s="34"/>
      <c r="B13" s="35"/>
      <c r="C13" s="36"/>
      <c r="D13" s="36"/>
      <c r="E13" s="36"/>
      <c r="F13" s="36"/>
      <c r="G13" s="36"/>
      <c r="H13" s="36"/>
      <c r="I13" s="36"/>
    </row>
    <row r="14" spans="1:9" ht="13.8" thickBot="1"/>
    <row r="15" spans="1:9" ht="27.6">
      <c r="A15" s="53" t="s">
        <v>17</v>
      </c>
      <c r="B15" s="51" t="s">
        <v>12</v>
      </c>
      <c r="C15" s="51" t="s">
        <v>87</v>
      </c>
      <c r="D15" s="51" t="s">
        <v>13</v>
      </c>
      <c r="E15" s="51" t="s">
        <v>14</v>
      </c>
      <c r="F15" s="51" t="s">
        <v>15</v>
      </c>
      <c r="G15" s="51" t="s">
        <v>74</v>
      </c>
      <c r="H15" s="51" t="s">
        <v>16</v>
      </c>
      <c r="I15" s="52" t="s">
        <v>0</v>
      </c>
    </row>
    <row r="16" spans="1:9" ht="105.6">
      <c r="A16" s="123" t="s">
        <v>84</v>
      </c>
      <c r="B16" s="124" t="s">
        <v>114</v>
      </c>
      <c r="C16" s="125">
        <v>50</v>
      </c>
      <c r="D16" s="126">
        <v>0.1</v>
      </c>
      <c r="E16" s="125">
        <f>C16*D16</f>
        <v>5</v>
      </c>
      <c r="F16" s="127">
        <v>43466</v>
      </c>
      <c r="G16" s="127"/>
      <c r="H16" s="127">
        <v>43508</v>
      </c>
      <c r="I16" s="128" t="s">
        <v>88</v>
      </c>
    </row>
    <row r="17" spans="1:9" ht="75" customHeight="1">
      <c r="A17" s="70"/>
      <c r="B17" s="71"/>
      <c r="C17" s="62"/>
      <c r="D17" s="63"/>
      <c r="E17" s="62">
        <f>C17*D17</f>
        <v>0</v>
      </c>
      <c r="F17" s="64"/>
      <c r="G17" s="64"/>
      <c r="H17" s="64"/>
      <c r="I17" s="72"/>
    </row>
    <row r="18" spans="1:9" ht="21" customHeight="1">
      <c r="A18" s="73"/>
      <c r="B18" s="71"/>
      <c r="C18" s="62"/>
      <c r="D18" s="63"/>
      <c r="E18" s="62">
        <f>C18*D18</f>
        <v>0</v>
      </c>
      <c r="F18" s="64"/>
      <c r="G18" s="64"/>
      <c r="H18" s="64"/>
      <c r="I18" s="72"/>
    </row>
    <row r="19" spans="1:9" ht="21" customHeight="1">
      <c r="A19" s="73"/>
      <c r="B19" s="71"/>
      <c r="C19" s="62"/>
      <c r="D19" s="63"/>
      <c r="E19" s="62">
        <f>C19*D19</f>
        <v>0</v>
      </c>
      <c r="F19" s="64"/>
      <c r="G19" s="64"/>
      <c r="H19" s="64"/>
      <c r="I19" s="72"/>
    </row>
    <row r="20" spans="1:9" ht="21" customHeight="1">
      <c r="A20" s="73"/>
      <c r="B20" s="71"/>
      <c r="C20" s="62"/>
      <c r="D20" s="63"/>
      <c r="E20" s="62">
        <f>C20*D20</f>
        <v>0</v>
      </c>
      <c r="F20" s="64"/>
      <c r="G20" s="64"/>
      <c r="H20" s="64"/>
      <c r="I20" s="72"/>
    </row>
    <row r="21" spans="1:9" ht="21" customHeight="1">
      <c r="A21" s="74"/>
      <c r="B21" s="67" t="s">
        <v>1</v>
      </c>
      <c r="C21" s="62">
        <f>SUM(C16:C20)</f>
        <v>50</v>
      </c>
      <c r="D21" s="69"/>
      <c r="E21" s="62">
        <f>SUM(E16:E20)</f>
        <v>5</v>
      </c>
      <c r="F21" s="69"/>
      <c r="G21" s="69"/>
      <c r="H21" s="69"/>
      <c r="I21" s="72"/>
    </row>
    <row r="22" spans="1:9" s="75" customFormat="1" ht="21" customHeight="1">
      <c r="A22" s="1"/>
      <c r="B22" s="1"/>
      <c r="C22" s="1"/>
      <c r="D22" s="1"/>
      <c r="E22" s="1"/>
      <c r="F22" s="1"/>
      <c r="G22" s="1"/>
      <c r="H22" s="1"/>
      <c r="I22" s="1"/>
    </row>
  </sheetData>
  <mergeCells count="4">
    <mergeCell ref="F1:I1"/>
    <mergeCell ref="F2:I2"/>
    <mergeCell ref="F3:I3"/>
    <mergeCell ref="A1:E3"/>
  </mergeCells>
  <pageMargins left="0.23622047244094491" right="0.23622047244094491" top="0.23622047244094491" bottom="0.23622047244094491" header="0" footer="0"/>
  <pageSetup paperSize="9" scale="48" orientation="landscape" r:id="rId1"/>
  <headerFooter alignWithMargins="0"/>
  <ignoredErrors>
    <ignoredError sqref="E16"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outlinePr summaryBelow="0" summaryRight="0"/>
    <pageSetUpPr fitToPage="1"/>
  </sheetPr>
  <dimension ref="A1:K19"/>
  <sheetViews>
    <sheetView showGridLines="0" zoomScale="80" zoomScaleNormal="80" zoomScalePageLayoutView="60" workbookViewId="0">
      <selection activeCell="H31" sqref="H31"/>
    </sheetView>
  </sheetViews>
  <sheetFormatPr baseColWidth="10" defaultColWidth="11.44140625" defaultRowHeight="13.2" outlineLevelRow="1"/>
  <cols>
    <col min="1" max="1" width="88.6640625" style="18" customWidth="1"/>
    <col min="2" max="2" width="85.33203125" style="18" customWidth="1"/>
    <col min="3" max="3" width="1.6640625" style="18" customWidth="1"/>
    <col min="4" max="4" width="4.6640625" style="18" customWidth="1"/>
    <col min="5" max="16384" width="11.44140625" style="18"/>
  </cols>
  <sheetData>
    <row r="1" spans="1:11" ht="17.399999999999999">
      <c r="A1" s="104"/>
      <c r="B1" s="105" t="str">
        <f>'1a-Identification Projet'!$L$1</f>
        <v>Ref; PD 002</v>
      </c>
      <c r="C1" s="19"/>
      <c r="D1" s="19"/>
      <c r="E1" s="19"/>
      <c r="F1" s="19"/>
      <c r="G1" s="19"/>
      <c r="H1" s="19"/>
      <c r="I1" s="19"/>
      <c r="J1" s="19"/>
      <c r="K1" s="19"/>
    </row>
    <row r="2" spans="1:11" ht="12.75" customHeight="1">
      <c r="A2" s="106"/>
      <c r="B2" s="107">
        <f>'1a-Identification Projet'!$L$2</f>
        <v>43524</v>
      </c>
      <c r="C2" s="19"/>
      <c r="D2" s="19"/>
      <c r="E2" s="19"/>
      <c r="F2" s="19"/>
      <c r="G2" s="19"/>
      <c r="H2" s="19"/>
      <c r="I2" s="19"/>
      <c r="J2" s="19"/>
      <c r="K2" s="19"/>
    </row>
    <row r="3" spans="1:11" ht="12.75" customHeight="1" thickBot="1">
      <c r="A3" s="108"/>
      <c r="B3" s="109" t="str">
        <f>'1a-Identification Projet'!$L$3</f>
        <v>Entreprise de prototypage de Toulouse</v>
      </c>
      <c r="C3" s="19"/>
      <c r="D3" s="19"/>
      <c r="E3" s="19"/>
      <c r="F3" s="19"/>
      <c r="G3" s="19"/>
      <c r="H3" s="19"/>
      <c r="I3" s="19"/>
      <c r="J3" s="19"/>
      <c r="K3" s="19"/>
    </row>
    <row r="4" spans="1:11" ht="12.75" customHeight="1">
      <c r="C4" s="19"/>
      <c r="D4" s="19"/>
      <c r="E4" s="19"/>
      <c r="F4" s="19"/>
      <c r="G4" s="19"/>
      <c r="H4" s="19"/>
      <c r="I4" s="19"/>
      <c r="J4" s="19"/>
      <c r="K4" s="19"/>
    </row>
    <row r="5" spans="1:11" ht="23.25" customHeight="1" thickBot="1">
      <c r="A5" s="46" t="s">
        <v>105</v>
      </c>
      <c r="B5" s="47"/>
    </row>
    <row r="6" spans="1:11" ht="16.2" thickBot="1">
      <c r="A6" s="92" t="s">
        <v>5</v>
      </c>
      <c r="B6" s="93" t="s">
        <v>6</v>
      </c>
    </row>
    <row r="7" spans="1:11" ht="24" customHeight="1" outlineLevel="1">
      <c r="A7" s="116"/>
      <c r="B7" s="116"/>
    </row>
    <row r="8" spans="1:11" ht="15.6" outlineLevel="1">
      <c r="A8" s="116" t="s">
        <v>106</v>
      </c>
      <c r="B8" s="116" t="s">
        <v>108</v>
      </c>
    </row>
    <row r="9" spans="1:11" ht="31.2" outlineLevel="1">
      <c r="A9" s="116" t="s">
        <v>107</v>
      </c>
      <c r="B9" s="116"/>
    </row>
    <row r="10" spans="1:11" ht="15" outlineLevel="1">
      <c r="A10" s="30"/>
      <c r="B10" s="32"/>
    </row>
    <row r="11" spans="1:11" ht="15" outlineLevel="1">
      <c r="A11" s="31"/>
      <c r="B11" s="33"/>
    </row>
    <row r="12" spans="1:11" ht="18" outlineLevel="1" thickBot="1">
      <c r="A12" s="46" t="s">
        <v>109</v>
      </c>
      <c r="B12" s="47"/>
    </row>
    <row r="13" spans="1:11" ht="16.2" thickBot="1">
      <c r="A13" s="92" t="s">
        <v>5</v>
      </c>
      <c r="B13" s="93" t="s">
        <v>6</v>
      </c>
    </row>
    <row r="14" spans="1:11" ht="45.75" customHeight="1" outlineLevel="1">
      <c r="A14" s="116" t="s">
        <v>110</v>
      </c>
      <c r="B14" s="116" t="s">
        <v>111</v>
      </c>
    </row>
    <row r="15" spans="1:11" ht="62.4" outlineLevel="1">
      <c r="A15" s="116" t="s">
        <v>112</v>
      </c>
      <c r="B15" s="116"/>
    </row>
    <row r="16" spans="1:11" ht="15.6" outlineLevel="1">
      <c r="A16" s="116"/>
      <c r="B16" s="116"/>
    </row>
    <row r="17" spans="1:2" ht="15" outlineLevel="1">
      <c r="A17" s="30"/>
      <c r="B17" s="32"/>
    </row>
    <row r="18" spans="1:2" ht="15" outlineLevel="1">
      <c r="A18" s="31"/>
      <c r="B18" s="33"/>
    </row>
    <row r="19" spans="1:2" ht="17.399999999999999" outlineLevel="1">
      <c r="A19" s="37" t="s">
        <v>21</v>
      </c>
    </row>
  </sheetData>
  <sheetProtection selectLockedCells="1" selectUnlockedCells="1"/>
  <pageMargins left="0.23622047244094491" right="0.23622047244094491" top="0.23622047244094491" bottom="0.23622047244094491" header="0" footer="0"/>
  <pageSetup paperSize="9" scale="82" firstPageNumber="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5">
    <pageSetUpPr fitToPage="1"/>
  </sheetPr>
  <dimension ref="A1:BI14"/>
  <sheetViews>
    <sheetView showGridLines="0" zoomScale="80" zoomScaleNormal="80" workbookViewId="0">
      <selection activeCell="J25" sqref="J25"/>
    </sheetView>
  </sheetViews>
  <sheetFormatPr baseColWidth="10" defaultColWidth="11.44140625" defaultRowHeight="13.2"/>
  <cols>
    <col min="1" max="1" width="7.88671875" style="1" customWidth="1"/>
    <col min="2" max="2" width="58.44140625" style="1" customWidth="1"/>
    <col min="3" max="3" width="15" style="1" customWidth="1"/>
    <col min="4" max="4" width="13.5546875" style="1" customWidth="1"/>
    <col min="5" max="5" width="18" style="1" customWidth="1"/>
    <col min="6" max="6" width="11.5546875" style="2" customWidth="1"/>
    <col min="7" max="7" width="11" style="2" customWidth="1"/>
    <col min="8" max="8" width="18.88671875" style="1" customWidth="1"/>
    <col min="9" max="9" width="11.44140625" style="1"/>
    <col min="10" max="10" width="12.109375" style="1" customWidth="1"/>
    <col min="11" max="11" width="37.109375" style="1" customWidth="1"/>
    <col min="12" max="16384" width="11.44140625" style="1"/>
  </cols>
  <sheetData>
    <row r="1" spans="1:61" ht="13.5" customHeight="1">
      <c r="A1" s="112"/>
      <c r="B1" s="111"/>
      <c r="C1" s="111"/>
      <c r="D1" s="111"/>
      <c r="E1" s="111"/>
      <c r="F1" s="111"/>
      <c r="G1" s="111"/>
      <c r="H1" s="216"/>
      <c r="I1" s="216"/>
      <c r="J1" s="186" t="str">
        <f>'1a-Identification Projet'!$L1</f>
        <v>Ref; PD 002</v>
      </c>
      <c r="K1" s="187"/>
    </row>
    <row r="2" spans="1:61" ht="12.75" customHeight="1">
      <c r="A2" s="110"/>
      <c r="B2" s="113"/>
      <c r="C2" s="113"/>
      <c r="D2" s="113"/>
      <c r="E2" s="113"/>
      <c r="F2" s="113"/>
      <c r="G2" s="113"/>
      <c r="H2" s="217"/>
      <c r="I2" s="217"/>
      <c r="J2" s="188">
        <f>'1a-Identification Projet'!$L2</f>
        <v>43524</v>
      </c>
      <c r="K2" s="189"/>
    </row>
    <row r="3" spans="1:61" ht="16.5" customHeight="1" thickBot="1">
      <c r="A3" s="114"/>
      <c r="B3" s="115"/>
      <c r="C3" s="115"/>
      <c r="D3" s="115"/>
      <c r="E3" s="115"/>
      <c r="F3" s="115"/>
      <c r="G3" s="115"/>
      <c r="H3" s="218"/>
      <c r="I3" s="218"/>
      <c r="J3" s="190" t="str">
        <f>'1a-Identification Projet'!$L3</f>
        <v>Entreprise de prototypage de Toulouse</v>
      </c>
      <c r="K3" s="191"/>
    </row>
    <row r="4" spans="1:61" ht="12.75" customHeight="1" thickBot="1">
      <c r="B4" s="24"/>
      <c r="C4" s="24"/>
      <c r="D4" s="24"/>
      <c r="E4" s="24"/>
    </row>
    <row r="5" spans="1:61" ht="31.95" customHeight="1" thickBot="1">
      <c r="A5" s="48" t="s">
        <v>8</v>
      </c>
      <c r="B5" s="48" t="s">
        <v>62</v>
      </c>
      <c r="C5" s="48" t="s">
        <v>9</v>
      </c>
      <c r="D5" s="48" t="s">
        <v>10</v>
      </c>
      <c r="E5" s="48" t="s">
        <v>69</v>
      </c>
      <c r="F5" s="48" t="s">
        <v>63</v>
      </c>
      <c r="G5" s="48" t="s">
        <v>64</v>
      </c>
      <c r="H5" s="48" t="s">
        <v>65</v>
      </c>
      <c r="I5" s="48" t="s">
        <v>66</v>
      </c>
      <c r="J5" s="48" t="s">
        <v>67</v>
      </c>
      <c r="K5" s="49" t="s">
        <v>68</v>
      </c>
      <c r="L5" s="17"/>
      <c r="M5" s="17"/>
      <c r="N5" s="17"/>
      <c r="O5" s="17"/>
      <c r="P5" s="17"/>
      <c r="Q5" s="17"/>
      <c r="R5" s="17"/>
      <c r="S5" s="17"/>
      <c r="T5" s="17"/>
      <c r="U5" s="27"/>
      <c r="V5" s="27"/>
      <c r="W5" s="27"/>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row>
    <row r="6" spans="1:61" s="28" customFormat="1" ht="15">
      <c r="A6" s="76"/>
      <c r="B6" s="77"/>
      <c r="C6" s="78"/>
      <c r="D6" s="79"/>
      <c r="E6" s="80"/>
      <c r="F6" s="80"/>
      <c r="G6" s="80"/>
      <c r="H6" s="79"/>
      <c r="I6" s="81"/>
      <c r="J6" s="82"/>
      <c r="K6" s="83"/>
      <c r="L6" s="25"/>
      <c r="M6" s="25"/>
      <c r="N6" s="25"/>
      <c r="O6" s="25"/>
      <c r="P6" s="25"/>
      <c r="Q6" s="25"/>
      <c r="R6" s="25"/>
      <c r="S6" s="25"/>
      <c r="T6" s="25"/>
      <c r="U6" s="26"/>
      <c r="V6" s="26"/>
      <c r="W6" s="26"/>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21" customFormat="1" ht="15">
      <c r="A7" s="76"/>
      <c r="B7" s="77"/>
      <c r="C7" s="78"/>
      <c r="D7" s="79"/>
      <c r="E7" s="80"/>
      <c r="F7" s="80"/>
      <c r="G7" s="80"/>
      <c r="H7" s="79"/>
      <c r="I7" s="81"/>
      <c r="J7" s="82"/>
      <c r="K7" s="77"/>
      <c r="L7" s="25"/>
      <c r="M7" s="25"/>
      <c r="N7" s="25"/>
      <c r="O7" s="25"/>
      <c r="P7" s="25"/>
      <c r="Q7" s="25"/>
      <c r="R7" s="25"/>
      <c r="S7" s="25"/>
      <c r="T7" s="25"/>
      <c r="U7" s="26"/>
      <c r="V7" s="26"/>
      <c r="W7" s="26"/>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21" customFormat="1" ht="15">
      <c r="A8" s="84"/>
      <c r="B8" s="85"/>
      <c r="C8" s="78"/>
      <c r="D8" s="78"/>
      <c r="E8" s="86"/>
      <c r="F8" s="86"/>
      <c r="G8" s="86"/>
      <c r="H8" s="78"/>
      <c r="I8" s="87"/>
      <c r="J8" s="88"/>
      <c r="K8" s="85"/>
      <c r="L8" s="25"/>
      <c r="M8" s="25"/>
      <c r="N8" s="25"/>
      <c r="O8" s="25"/>
      <c r="P8" s="25"/>
      <c r="Q8" s="25"/>
      <c r="R8" s="25"/>
      <c r="S8" s="25"/>
      <c r="T8" s="25"/>
      <c r="U8" s="26"/>
      <c r="V8" s="26"/>
      <c r="W8" s="26"/>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21" customFormat="1" ht="15">
      <c r="A9" s="84"/>
      <c r="B9" s="89"/>
      <c r="C9" s="78"/>
      <c r="D9" s="78"/>
      <c r="E9" s="86"/>
      <c r="F9" s="86"/>
      <c r="G9" s="86"/>
      <c r="H9" s="78"/>
      <c r="I9" s="87"/>
      <c r="J9" s="88"/>
      <c r="K9" s="85"/>
      <c r="L9" s="25"/>
      <c r="M9" s="25"/>
      <c r="N9" s="25"/>
      <c r="O9" s="25"/>
      <c r="P9" s="25"/>
      <c r="Q9" s="25"/>
      <c r="R9" s="25"/>
      <c r="S9" s="25"/>
      <c r="T9" s="25"/>
      <c r="U9" s="26"/>
      <c r="V9" s="26"/>
      <c r="W9" s="26"/>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21" customFormat="1" ht="15">
      <c r="A10" s="84"/>
      <c r="B10" s="89"/>
      <c r="C10" s="78"/>
      <c r="D10" s="78"/>
      <c r="E10" s="86"/>
      <c r="F10" s="86"/>
      <c r="G10" s="86"/>
      <c r="H10" s="78"/>
      <c r="I10" s="90"/>
      <c r="J10" s="88"/>
      <c r="K10" s="91"/>
      <c r="L10" s="25"/>
      <c r="M10" s="25"/>
      <c r="N10" s="25"/>
      <c r="O10" s="25"/>
      <c r="P10" s="25"/>
      <c r="Q10" s="25"/>
      <c r="R10" s="25"/>
      <c r="S10" s="25"/>
      <c r="T10" s="25"/>
      <c r="U10" s="26"/>
      <c r="V10" s="26"/>
      <c r="W10" s="26"/>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21" customFormat="1" ht="15">
      <c r="A11" s="84"/>
      <c r="B11" s="89"/>
      <c r="C11" s="78"/>
      <c r="D11" s="78"/>
      <c r="E11" s="86"/>
      <c r="F11" s="86"/>
      <c r="G11" s="86"/>
      <c r="H11" s="78"/>
      <c r="I11" s="90"/>
      <c r="J11" s="88"/>
      <c r="K11" s="85"/>
      <c r="L11" s="25"/>
      <c r="M11" s="25"/>
      <c r="N11" s="25"/>
      <c r="O11" s="25"/>
      <c r="P11" s="25"/>
      <c r="Q11" s="25"/>
      <c r="R11" s="25"/>
      <c r="S11" s="25"/>
      <c r="T11" s="25"/>
      <c r="U11" s="26"/>
      <c r="V11" s="26"/>
      <c r="W11" s="26"/>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21" customFormat="1" ht="15">
      <c r="A12" s="84"/>
      <c r="B12" s="89"/>
      <c r="C12" s="78"/>
      <c r="D12" s="78"/>
      <c r="E12" s="86"/>
      <c r="F12" s="86"/>
      <c r="G12" s="86"/>
      <c r="H12" s="78"/>
      <c r="I12" s="87"/>
      <c r="J12" s="88"/>
      <c r="K12" s="85"/>
      <c r="L12" s="25"/>
      <c r="M12" s="25"/>
      <c r="N12" s="25"/>
      <c r="O12" s="25"/>
      <c r="P12" s="25"/>
      <c r="Q12" s="25"/>
      <c r="R12" s="25"/>
      <c r="S12" s="25"/>
      <c r="T12" s="25"/>
      <c r="U12" s="26"/>
      <c r="V12" s="26"/>
      <c r="W12" s="26"/>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21" customFormat="1">
      <c r="A13" s="1"/>
      <c r="B13" s="1"/>
      <c r="C13" s="1"/>
      <c r="D13" s="1"/>
      <c r="E13" s="1"/>
      <c r="F13" s="2"/>
      <c r="G13" s="2"/>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c r="G14" s="20"/>
    </row>
  </sheetData>
  <mergeCells count="6">
    <mergeCell ref="J1:K1"/>
    <mergeCell ref="J2:K2"/>
    <mergeCell ref="J3:K3"/>
    <mergeCell ref="H1:I1"/>
    <mergeCell ref="H2:I2"/>
    <mergeCell ref="H3:I3"/>
  </mergeCells>
  <conditionalFormatting sqref="A6:K10">
    <cfRule type="expression" dxfId="5" priority="1" stopIfTrue="1">
      <formula>IF($H6="Done",TRUE,FALSE)</formula>
    </cfRule>
    <cfRule type="expression" dxfId="4" priority="2" stopIfTrue="1">
      <formula>IF($H6="Cancelled",TRUE,FALSE)</formula>
    </cfRule>
    <cfRule type="expression" dxfId="3" priority="3" stopIfTrue="1">
      <formula>IF($H6="Pending",TRUE,FALSE)</formula>
    </cfRule>
  </conditionalFormatting>
  <conditionalFormatting sqref="A12:K12">
    <cfRule type="expression" dxfId="2" priority="4" stopIfTrue="1">
      <formula>IF($H12="Done",TRUE,FALSE)</formula>
    </cfRule>
    <cfRule type="expression" dxfId="1" priority="5" stopIfTrue="1">
      <formula>IF($H12="Cancelled",TRUE,FALSE)</formula>
    </cfRule>
    <cfRule type="expression" dxfId="0" priority="6" stopIfTrue="1">
      <formula>IF($H12="Pending",TRUE,FALSE)</formula>
    </cfRule>
  </conditionalFormatting>
  <dataValidations count="2">
    <dataValidation type="list" allowBlank="1" showInputMessage="1" showErrorMessage="1" sqref="H6:H12" xr:uid="{00000000-0002-0000-0800-000000000000}">
      <formula1>"Pending,Cancelled,Done,In Progress"</formula1>
    </dataValidation>
    <dataValidation type="list" allowBlank="1" showInputMessage="1" showErrorMessage="1" sqref="C6:C12" xr:uid="{00000000-0002-0000-0800-000001000000}">
      <formula1>"SSR,PDR,CDR,TRR, Revue de PROJET"</formula1>
    </dataValidation>
  </dataValidations>
  <printOptions horizontalCentered="1"/>
  <pageMargins left="0.23622047244094491" right="0.23622047244094491" top="0.23622047244094491" bottom="0.23622047244094491" header="0" footer="0"/>
  <pageSetup paperSize="9" scale="67"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4">
    <pageSetUpPr fitToPage="1"/>
  </sheetPr>
  <dimension ref="A1:K11"/>
  <sheetViews>
    <sheetView showGridLines="0" zoomScale="80" zoomScaleNormal="80" workbookViewId="0">
      <selection activeCell="G34" sqref="G34"/>
    </sheetView>
  </sheetViews>
  <sheetFormatPr baseColWidth="10" defaultColWidth="11.44140625" defaultRowHeight="13.2"/>
  <cols>
    <col min="1" max="1" width="16" style="1" customWidth="1"/>
    <col min="2" max="2" width="52" style="1" customWidth="1"/>
    <col min="3" max="3" width="10.6640625" style="1" customWidth="1"/>
    <col min="4" max="4" width="6.6640625" style="1" customWidth="1"/>
    <col min="5" max="5" width="6.33203125" style="2" customWidth="1"/>
    <col min="6" max="6" width="7.109375" style="2" customWidth="1"/>
    <col min="7" max="7" width="27.6640625" style="2" customWidth="1"/>
    <col min="8" max="8" width="17.109375" style="2" customWidth="1"/>
    <col min="9" max="9" width="17.5546875" style="2" customWidth="1"/>
    <col min="10" max="10" width="26.5546875" style="1" customWidth="1"/>
    <col min="11" max="16384" width="11.44140625" style="1"/>
  </cols>
  <sheetData>
    <row r="1" spans="1:11" ht="13.5" customHeight="1">
      <c r="A1" s="111"/>
      <c r="B1" s="111"/>
      <c r="C1" s="111"/>
      <c r="D1" s="111"/>
      <c r="E1" s="111"/>
      <c r="F1" s="111"/>
      <c r="G1" s="111"/>
      <c r="H1" s="111"/>
      <c r="I1" s="111"/>
      <c r="J1" s="186" t="str">
        <f>'1a-Identification Projet'!$L1</f>
        <v>Ref; PD 002</v>
      </c>
      <c r="K1" s="187"/>
    </row>
    <row r="2" spans="1:11" ht="12.75" customHeight="1">
      <c r="A2" s="113"/>
      <c r="B2" s="113"/>
      <c r="C2" s="113"/>
      <c r="D2" s="113"/>
      <c r="E2" s="113"/>
      <c r="F2" s="113"/>
      <c r="G2" s="113"/>
      <c r="H2" s="113"/>
      <c r="I2" s="113"/>
      <c r="J2" s="188">
        <f>'1a-Identification Projet'!$L2</f>
        <v>43524</v>
      </c>
      <c r="K2" s="189"/>
    </row>
    <row r="3" spans="1:11" ht="16.5" customHeight="1" thickBot="1">
      <c r="A3" s="115"/>
      <c r="B3" s="115"/>
      <c r="C3" s="115"/>
      <c r="D3" s="115"/>
      <c r="E3" s="115"/>
      <c r="F3" s="115"/>
      <c r="G3" s="115"/>
      <c r="H3" s="115"/>
      <c r="I3" s="115"/>
      <c r="J3" s="190" t="str">
        <f>'1a-Identification Projet'!$L3</f>
        <v>Entreprise de prototypage de Toulouse</v>
      </c>
      <c r="K3" s="191"/>
    </row>
    <row r="4" spans="1:11" ht="12.75" customHeight="1" thickBot="1">
      <c r="A4" s="24"/>
      <c r="B4" s="24"/>
      <c r="C4" s="24"/>
      <c r="D4" s="24"/>
    </row>
    <row r="5" spans="1:11" ht="26.4" customHeight="1">
      <c r="A5" s="94" t="s">
        <v>2</v>
      </c>
      <c r="B5" s="221" t="s">
        <v>29</v>
      </c>
      <c r="C5" s="222"/>
      <c r="D5" s="222"/>
      <c r="E5" s="222"/>
      <c r="F5" s="223"/>
      <c r="G5" s="95" t="s">
        <v>23</v>
      </c>
      <c r="H5" s="95" t="s">
        <v>26</v>
      </c>
      <c r="I5" s="95" t="s">
        <v>27</v>
      </c>
      <c r="J5" s="94" t="s">
        <v>28</v>
      </c>
      <c r="K5" s="94" t="s">
        <v>24</v>
      </c>
    </row>
    <row r="6" spans="1:11" ht="15">
      <c r="A6" s="96">
        <v>1</v>
      </c>
      <c r="B6" s="219"/>
      <c r="C6" s="219"/>
      <c r="D6" s="219"/>
      <c r="E6" s="219"/>
      <c r="F6" s="219"/>
      <c r="G6" s="97"/>
      <c r="H6" s="97"/>
      <c r="I6" s="97"/>
      <c r="J6" s="98"/>
      <c r="K6" s="99" t="s">
        <v>25</v>
      </c>
    </row>
    <row r="7" spans="1:11" ht="15">
      <c r="A7" s="96">
        <v>2</v>
      </c>
      <c r="B7" s="219"/>
      <c r="C7" s="219"/>
      <c r="D7" s="219"/>
      <c r="E7" s="219"/>
      <c r="F7" s="219"/>
      <c r="G7" s="97"/>
      <c r="H7" s="97"/>
      <c r="I7" s="97"/>
      <c r="J7" s="98"/>
      <c r="K7" s="99"/>
    </row>
    <row r="8" spans="1:11" ht="15">
      <c r="A8" s="96">
        <v>3</v>
      </c>
      <c r="B8" s="219"/>
      <c r="C8" s="219"/>
      <c r="D8" s="219"/>
      <c r="E8" s="219"/>
      <c r="F8" s="219"/>
      <c r="G8" s="97"/>
      <c r="H8" s="97"/>
      <c r="I8" s="97"/>
      <c r="J8" s="98"/>
      <c r="K8" s="99"/>
    </row>
    <row r="9" spans="1:11" ht="15.6">
      <c r="A9" s="96">
        <v>4</v>
      </c>
      <c r="B9" s="220"/>
      <c r="C9" s="220"/>
      <c r="D9" s="220"/>
      <c r="E9" s="220"/>
      <c r="F9" s="220"/>
      <c r="G9" s="100"/>
      <c r="H9" s="100"/>
      <c r="I9" s="100"/>
      <c r="J9" s="101"/>
      <c r="K9" s="102"/>
    </row>
    <row r="10" spans="1:11" ht="15.6">
      <c r="A10" s="96">
        <v>5</v>
      </c>
      <c r="B10" s="220"/>
      <c r="C10" s="220"/>
      <c r="D10" s="220"/>
      <c r="E10" s="220"/>
      <c r="F10" s="220"/>
      <c r="G10" s="100"/>
      <c r="H10" s="100"/>
      <c r="I10" s="100"/>
      <c r="J10" s="103"/>
      <c r="K10" s="102"/>
    </row>
    <row r="11" spans="1:11" ht="15.6">
      <c r="A11" s="96">
        <v>6</v>
      </c>
      <c r="B11" s="220"/>
      <c r="C11" s="220"/>
      <c r="D11" s="220"/>
      <c r="E11" s="220"/>
      <c r="F11" s="220"/>
      <c r="G11" s="100"/>
      <c r="H11" s="100"/>
      <c r="I11" s="100"/>
      <c r="J11" s="101"/>
      <c r="K11" s="102"/>
    </row>
  </sheetData>
  <mergeCells count="10">
    <mergeCell ref="B8:F8"/>
    <mergeCell ref="B9:F9"/>
    <mergeCell ref="B10:F10"/>
    <mergeCell ref="B11:F11"/>
    <mergeCell ref="J1:K1"/>
    <mergeCell ref="J2:K2"/>
    <mergeCell ref="J3:K3"/>
    <mergeCell ref="B5:F5"/>
    <mergeCell ref="B6:F6"/>
    <mergeCell ref="B7:F7"/>
  </mergeCells>
  <printOptions horizontalCentered="1"/>
  <pageMargins left="0.23622047244094491" right="0.23622047244094491" top="0.23622047244094491" bottom="0.23622047244094491" header="0" footer="0"/>
  <pageSetup paperSize="9" scale="72" fitToHeight="4"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6">
    <outlinePr summaryBelow="0" summaryRight="0"/>
    <pageSetUpPr fitToPage="1"/>
  </sheetPr>
  <dimension ref="A1:J29"/>
  <sheetViews>
    <sheetView showGridLines="0" zoomScale="80" zoomScaleNormal="80" workbookViewId="0">
      <selection activeCell="F36" sqref="F36"/>
    </sheetView>
  </sheetViews>
  <sheetFormatPr baseColWidth="10" defaultColWidth="11.44140625" defaultRowHeight="13.2" outlineLevelRow="2"/>
  <cols>
    <col min="1" max="1" width="33.5546875" style="1" customWidth="1"/>
    <col min="2" max="2" width="45.88671875" style="1" customWidth="1"/>
    <col min="3" max="3" width="11" style="1" customWidth="1"/>
    <col min="4" max="4" width="10.6640625" style="1" customWidth="1"/>
    <col min="5" max="5" width="21.33203125" style="1" customWidth="1"/>
    <col min="6" max="6" width="6.33203125" style="2" customWidth="1"/>
    <col min="7" max="7" width="8.88671875" style="2" customWidth="1"/>
    <col min="8" max="8" width="27.6640625" style="2" customWidth="1"/>
    <col min="9" max="9" width="17.109375" style="2" customWidth="1"/>
    <col min="10" max="10" width="17.5546875" style="2" customWidth="1"/>
    <col min="11" max="11" width="26.5546875" style="1" customWidth="1"/>
    <col min="12" max="16384" width="11.44140625" style="1"/>
  </cols>
  <sheetData>
    <row r="1" spans="1:10" ht="13.5" customHeight="1">
      <c r="A1" s="112"/>
      <c r="B1" s="111"/>
      <c r="C1" s="111"/>
      <c r="D1" s="111"/>
      <c r="E1" s="111"/>
      <c r="F1" s="111"/>
      <c r="G1" s="111"/>
      <c r="H1" s="111"/>
      <c r="I1" s="186" t="str">
        <f>'1a-Identification Projet'!$L1</f>
        <v>Ref; PD 002</v>
      </c>
      <c r="J1" s="187"/>
    </row>
    <row r="2" spans="1:10" ht="12.75" customHeight="1">
      <c r="A2" s="110"/>
      <c r="B2" s="113"/>
      <c r="C2" s="113"/>
      <c r="D2" s="113"/>
      <c r="E2" s="113"/>
      <c r="F2" s="113"/>
      <c r="G2" s="113"/>
      <c r="H2" s="113"/>
      <c r="I2" s="188">
        <f>'1a-Identification Projet'!$L2</f>
        <v>43524</v>
      </c>
      <c r="J2" s="189"/>
    </row>
    <row r="3" spans="1:10" ht="16.5" customHeight="1" thickBot="1">
      <c r="A3" s="114"/>
      <c r="B3" s="115"/>
      <c r="C3" s="115"/>
      <c r="D3" s="115"/>
      <c r="E3" s="115"/>
      <c r="F3" s="115"/>
      <c r="G3" s="115"/>
      <c r="H3" s="115"/>
      <c r="I3" s="190" t="str">
        <f>'1a-Identification Projet'!$L3</f>
        <v>Entreprise de prototypage de Toulouse</v>
      </c>
      <c r="J3" s="191"/>
    </row>
    <row r="4" spans="1:10" ht="12.75" customHeight="1">
      <c r="B4" s="24"/>
      <c r="C4" s="24"/>
      <c r="D4" s="24"/>
      <c r="E4" s="24"/>
    </row>
    <row r="5" spans="1:10" ht="14.25" customHeight="1"/>
    <row r="7" spans="1:10" ht="13.8" thickBot="1">
      <c r="A7" s="40"/>
      <c r="B7" s="40"/>
      <c r="C7" s="39"/>
      <c r="D7" s="38"/>
      <c r="E7" s="38"/>
      <c r="F7" s="38"/>
      <c r="G7" s="38"/>
      <c r="H7" s="38"/>
      <c r="I7" s="38"/>
      <c r="J7" s="38"/>
    </row>
    <row r="8" spans="1:10" ht="21" thickBot="1">
      <c r="A8" s="54" t="s">
        <v>30</v>
      </c>
      <c r="B8" s="54" t="s">
        <v>31</v>
      </c>
      <c r="C8" s="54" t="s">
        <v>7</v>
      </c>
      <c r="D8" s="54" t="s">
        <v>0</v>
      </c>
      <c r="E8" s="54" t="s">
        <v>32</v>
      </c>
      <c r="F8" s="54" t="s">
        <v>33</v>
      </c>
      <c r="G8" s="54" t="s">
        <v>34</v>
      </c>
      <c r="H8" s="54" t="s">
        <v>35</v>
      </c>
      <c r="I8" s="54" t="s">
        <v>36</v>
      </c>
      <c r="J8" s="54" t="s">
        <v>37</v>
      </c>
    </row>
    <row r="9" spans="1:10" ht="13.5" customHeight="1" thickBot="1">
      <c r="A9" s="55" t="s">
        <v>39</v>
      </c>
      <c r="B9" s="44"/>
      <c r="C9" s="44"/>
      <c r="D9" s="44"/>
      <c r="E9" s="44"/>
      <c r="F9" s="44"/>
      <c r="G9" s="44"/>
      <c r="H9" s="44"/>
      <c r="I9" s="44"/>
      <c r="J9" s="43"/>
    </row>
    <row r="10" spans="1:10" ht="13.8" thickBot="1">
      <c r="A10" s="57" t="s">
        <v>44</v>
      </c>
      <c r="B10" s="42"/>
      <c r="C10" s="42"/>
      <c r="D10" s="42"/>
      <c r="E10" s="42"/>
      <c r="F10" s="42"/>
      <c r="G10" s="42"/>
      <c r="H10" s="42"/>
      <c r="I10" s="42"/>
      <c r="J10" s="41"/>
    </row>
    <row r="11" spans="1:10" ht="13.8" outlineLevel="1" thickBot="1">
      <c r="A11" s="58" t="s">
        <v>93</v>
      </c>
      <c r="B11" s="58"/>
      <c r="C11" s="58"/>
      <c r="D11" s="58" t="s">
        <v>92</v>
      </c>
      <c r="E11" s="58"/>
      <c r="F11" s="58"/>
      <c r="G11" s="58"/>
      <c r="H11" s="58"/>
      <c r="I11" s="58"/>
      <c r="J11" s="58" t="s">
        <v>46</v>
      </c>
    </row>
    <row r="12" spans="1:10" ht="13.8" outlineLevel="2" thickBot="1">
      <c r="A12" s="57" t="s">
        <v>45</v>
      </c>
      <c r="B12" s="42"/>
      <c r="C12" s="42"/>
      <c r="D12" s="42"/>
      <c r="E12" s="42"/>
      <c r="F12" s="42"/>
      <c r="G12" s="42"/>
      <c r="H12" s="42"/>
      <c r="I12" s="42"/>
      <c r="J12" s="41"/>
    </row>
    <row r="13" spans="1:10" outlineLevel="1">
      <c r="A13" s="58" t="s">
        <v>89</v>
      </c>
      <c r="B13" s="58"/>
      <c r="C13" s="58"/>
      <c r="D13" s="58" t="s">
        <v>91</v>
      </c>
      <c r="E13" s="58"/>
      <c r="F13" s="58"/>
      <c r="G13" s="58"/>
      <c r="H13" s="58"/>
      <c r="I13" s="58"/>
      <c r="J13" s="58" t="s">
        <v>46</v>
      </c>
    </row>
    <row r="14" spans="1:10" outlineLevel="2">
      <c r="A14" s="58" t="s">
        <v>90</v>
      </c>
      <c r="B14" s="58"/>
      <c r="C14" s="58"/>
      <c r="D14" s="58" t="s">
        <v>92</v>
      </c>
      <c r="E14" s="58"/>
      <c r="F14" s="58"/>
      <c r="G14" s="58"/>
      <c r="H14" s="58"/>
      <c r="I14" s="58"/>
      <c r="J14" s="58" t="s">
        <v>38</v>
      </c>
    </row>
    <row r="15" spans="1:10" outlineLevel="2">
      <c r="A15" s="58" t="s">
        <v>94</v>
      </c>
      <c r="B15" s="58"/>
      <c r="C15" s="58"/>
      <c r="D15" s="58" t="s">
        <v>95</v>
      </c>
      <c r="E15" s="58"/>
      <c r="F15" s="58"/>
      <c r="G15" s="58"/>
      <c r="H15" s="58"/>
      <c r="I15" s="58"/>
      <c r="J15" s="58" t="s">
        <v>38</v>
      </c>
    </row>
    <row r="16" spans="1:10" ht="13.8" outlineLevel="2" thickBot="1">
      <c r="A16" s="58"/>
      <c r="B16" s="58"/>
      <c r="C16" s="58"/>
      <c r="D16" s="58"/>
      <c r="E16" s="58"/>
      <c r="F16" s="58"/>
      <c r="G16" s="58"/>
      <c r="H16" s="58"/>
      <c r="I16" s="58"/>
      <c r="J16" s="58" t="s">
        <v>38</v>
      </c>
    </row>
    <row r="17" spans="1:10" ht="13.8" outlineLevel="2" thickBot="1">
      <c r="A17" s="55" t="s">
        <v>40</v>
      </c>
      <c r="B17" s="42"/>
      <c r="C17" s="42"/>
      <c r="D17" s="42"/>
      <c r="E17" s="42"/>
      <c r="F17" s="42"/>
      <c r="G17" s="42"/>
      <c r="H17" s="42"/>
      <c r="I17" s="42"/>
      <c r="J17" s="41"/>
    </row>
    <row r="18" spans="1:10" ht="13.8" thickBot="1">
      <c r="A18" s="57" t="s">
        <v>51</v>
      </c>
      <c r="B18" s="42"/>
      <c r="C18" s="42"/>
      <c r="D18" s="42"/>
      <c r="E18" s="42"/>
      <c r="F18" s="42"/>
      <c r="G18" s="42"/>
      <c r="H18" s="42"/>
      <c r="I18" s="42"/>
      <c r="J18" s="41"/>
    </row>
    <row r="19" spans="1:10" outlineLevel="1">
      <c r="A19" s="58" t="s">
        <v>47</v>
      </c>
      <c r="B19" s="58" t="s">
        <v>120</v>
      </c>
      <c r="C19" s="58"/>
      <c r="D19" s="58" t="s">
        <v>56</v>
      </c>
      <c r="E19" s="58" t="s">
        <v>115</v>
      </c>
      <c r="F19" s="58"/>
      <c r="G19" s="58"/>
      <c r="H19" s="58">
        <v>43479</v>
      </c>
      <c r="I19" s="58">
        <v>43487</v>
      </c>
      <c r="J19" s="58" t="s">
        <v>46</v>
      </c>
    </row>
    <row r="20" spans="1:10" outlineLevel="2">
      <c r="A20" s="58" t="s">
        <v>48</v>
      </c>
      <c r="B20" s="58" t="s">
        <v>120</v>
      </c>
      <c r="C20" s="58"/>
      <c r="D20" s="58" t="s">
        <v>56</v>
      </c>
      <c r="E20" s="58" t="s">
        <v>115</v>
      </c>
      <c r="F20" s="58"/>
      <c r="G20" s="58"/>
      <c r="H20" s="58">
        <v>43487</v>
      </c>
      <c r="I20" s="58">
        <v>43487</v>
      </c>
      <c r="J20" s="58" t="s">
        <v>46</v>
      </c>
    </row>
    <row r="21" spans="1:10" outlineLevel="2">
      <c r="A21" s="58" t="s">
        <v>49</v>
      </c>
      <c r="B21" s="58" t="s">
        <v>120</v>
      </c>
      <c r="C21" s="58"/>
      <c r="D21" s="58" t="s">
        <v>56</v>
      </c>
      <c r="E21" s="58" t="s">
        <v>116</v>
      </c>
      <c r="F21" s="58"/>
      <c r="G21" s="58"/>
      <c r="H21" s="58" t="s">
        <v>61</v>
      </c>
      <c r="I21" s="58">
        <v>43524</v>
      </c>
      <c r="J21" s="58" t="s">
        <v>118</v>
      </c>
    </row>
    <row r="22" spans="1:10" ht="13.8" outlineLevel="2" thickBot="1">
      <c r="A22" s="58" t="s">
        <v>50</v>
      </c>
      <c r="B22" s="58"/>
      <c r="C22" s="58"/>
      <c r="D22" s="58" t="s">
        <v>56</v>
      </c>
      <c r="E22" s="58"/>
      <c r="F22" s="58"/>
      <c r="G22" s="58"/>
      <c r="H22" s="58">
        <v>43586</v>
      </c>
      <c r="I22" s="58"/>
      <c r="J22" s="58" t="s">
        <v>38</v>
      </c>
    </row>
    <row r="23" spans="1:10" ht="13.8" outlineLevel="2" thickBot="1">
      <c r="A23" s="57" t="s">
        <v>54</v>
      </c>
      <c r="B23" s="42"/>
      <c r="C23" s="42"/>
      <c r="D23" s="42"/>
      <c r="E23" s="42"/>
      <c r="F23" s="42"/>
      <c r="G23" s="42"/>
      <c r="H23" s="42"/>
      <c r="I23" s="42"/>
      <c r="J23" s="41"/>
    </row>
    <row r="24" spans="1:10" outlineLevel="1">
      <c r="A24" s="58" t="s">
        <v>52</v>
      </c>
      <c r="B24" s="58" t="s">
        <v>119</v>
      </c>
      <c r="C24" s="58"/>
      <c r="D24" s="58" t="s">
        <v>57</v>
      </c>
      <c r="E24" s="58"/>
      <c r="F24" s="58"/>
      <c r="G24" s="58"/>
      <c r="H24" s="58">
        <v>43522</v>
      </c>
      <c r="I24" s="58">
        <v>43524</v>
      </c>
      <c r="J24" s="58" t="s">
        <v>46</v>
      </c>
    </row>
    <row r="25" spans="1:10" outlineLevel="2">
      <c r="A25" s="58" t="s">
        <v>96</v>
      </c>
      <c r="B25" s="58" t="s">
        <v>121</v>
      </c>
      <c r="C25" s="58"/>
      <c r="D25" s="58" t="s">
        <v>57</v>
      </c>
      <c r="E25" s="58"/>
      <c r="F25" s="58"/>
      <c r="G25" s="58"/>
      <c r="H25" s="58">
        <v>43503</v>
      </c>
      <c r="I25" s="58">
        <v>43510</v>
      </c>
      <c r="J25" s="58" t="s">
        <v>46</v>
      </c>
    </row>
    <row r="26" spans="1:10" ht="13.8" outlineLevel="2" thickBot="1">
      <c r="A26" s="58" t="s">
        <v>53</v>
      </c>
      <c r="B26" s="58"/>
      <c r="C26" s="58"/>
      <c r="D26" s="58" t="s">
        <v>57</v>
      </c>
      <c r="E26" s="58"/>
      <c r="F26" s="58"/>
      <c r="G26" s="58"/>
      <c r="H26" s="58">
        <v>43579</v>
      </c>
      <c r="I26" s="58"/>
      <c r="J26" s="58" t="s">
        <v>38</v>
      </c>
    </row>
    <row r="27" spans="1:10" ht="13.8" outlineLevel="2" thickBot="1">
      <c r="A27" s="57" t="s">
        <v>55</v>
      </c>
      <c r="B27" s="42"/>
      <c r="C27" s="42"/>
      <c r="D27" s="42"/>
      <c r="E27" s="42"/>
      <c r="F27" s="42"/>
      <c r="G27" s="42"/>
      <c r="H27" s="42"/>
      <c r="I27" s="42"/>
      <c r="J27" s="41"/>
    </row>
    <row r="28" spans="1:10" outlineLevel="1">
      <c r="A28" s="58" t="s">
        <v>97</v>
      </c>
      <c r="B28" s="58"/>
      <c r="C28" s="58"/>
      <c r="D28" s="58" t="s">
        <v>57</v>
      </c>
      <c r="E28" s="58"/>
      <c r="F28" s="58"/>
      <c r="G28" s="58"/>
      <c r="H28" s="58">
        <v>43579</v>
      </c>
      <c r="I28" s="58"/>
      <c r="J28" s="58" t="s">
        <v>38</v>
      </c>
    </row>
    <row r="29" spans="1:10" outlineLevel="2"/>
  </sheetData>
  <mergeCells count="3">
    <mergeCell ref="I1:J1"/>
    <mergeCell ref="I2:J2"/>
    <mergeCell ref="I3:J3"/>
  </mergeCells>
  <dataValidations count="1">
    <dataValidation type="list" allowBlank="1" showInputMessage="1" showErrorMessage="1" sqref="J11 J13:J16 J19:J22 J28 J24:J26" xr:uid="{00000000-0002-0000-0A00-000000000000}">
      <formula1>"à realiser,en cours,en validaion,validé,périodic"</formula1>
    </dataValidation>
  </dataValidations>
  <printOptions horizontalCentered="1"/>
  <pageMargins left="0.23622047244094491" right="0.23622047244094491" top="0.23622047244094491" bottom="0.23622047244094491" header="0" footer="0"/>
  <pageSetup paperSize="9" scale="74"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7">
    <outlinePr summaryBelow="0" summaryRight="0"/>
    <pageSetUpPr fitToPage="1"/>
  </sheetPr>
  <dimension ref="A1:L14"/>
  <sheetViews>
    <sheetView showGridLines="0" zoomScale="80" zoomScaleNormal="80" workbookViewId="0">
      <selection activeCell="D22" sqref="D22"/>
    </sheetView>
  </sheetViews>
  <sheetFormatPr baseColWidth="10" defaultColWidth="11.44140625" defaultRowHeight="13.2" outlineLevelRow="2"/>
  <cols>
    <col min="1" max="1" width="32.5546875" style="1" customWidth="1"/>
    <col min="2" max="2" width="76.33203125" style="1" customWidth="1"/>
    <col min="3" max="3" width="16" style="2" customWidth="1"/>
    <col min="4" max="4" width="17.109375" style="2" customWidth="1"/>
    <col min="5" max="5" width="21.109375" style="2" customWidth="1"/>
    <col min="6" max="6" width="26.5546875" style="1" customWidth="1"/>
    <col min="7" max="16384" width="11.44140625" style="1"/>
  </cols>
  <sheetData>
    <row r="1" spans="1:12" ht="13.5" customHeight="1">
      <c r="A1" s="112"/>
      <c r="B1" s="111"/>
      <c r="C1" s="111"/>
      <c r="D1" s="186" t="str">
        <f>'1a-Identification Projet'!$L1</f>
        <v>Ref; PD 002</v>
      </c>
      <c r="E1" s="187"/>
    </row>
    <row r="2" spans="1:12" ht="12.75" customHeight="1">
      <c r="A2" s="110"/>
      <c r="B2" s="113"/>
      <c r="C2" s="113"/>
      <c r="D2" s="188">
        <f>'1a-Identification Projet'!$L2</f>
        <v>43524</v>
      </c>
      <c r="E2" s="189"/>
    </row>
    <row r="3" spans="1:12" ht="16.5" customHeight="1" thickBot="1">
      <c r="A3" s="114"/>
      <c r="B3" s="115"/>
      <c r="C3" s="115"/>
      <c r="D3" s="190" t="str">
        <f>'1a-Identification Projet'!$L3</f>
        <v>Entreprise de prototypage de Toulouse</v>
      </c>
      <c r="E3" s="191"/>
    </row>
    <row r="4" spans="1:12" ht="12.75" customHeight="1">
      <c r="B4" s="24"/>
    </row>
    <row r="5" spans="1:12" ht="14.25" customHeight="1"/>
    <row r="7" spans="1:12" ht="13.8" thickBot="1">
      <c r="A7" s="40"/>
      <c r="B7" s="40"/>
      <c r="C7" s="38"/>
      <c r="D7" s="38"/>
      <c r="E7" s="38"/>
    </row>
    <row r="8" spans="1:12" ht="21" thickBot="1">
      <c r="A8" s="54" t="s">
        <v>41</v>
      </c>
      <c r="B8" s="56" t="s">
        <v>42</v>
      </c>
      <c r="C8" s="54" t="s">
        <v>43</v>
      </c>
      <c r="D8" s="54" t="s">
        <v>36</v>
      </c>
      <c r="E8" s="54" t="s">
        <v>37</v>
      </c>
    </row>
    <row r="9" spans="1:12" ht="13.5" customHeight="1" thickBot="1">
      <c r="A9" s="55" t="s">
        <v>58</v>
      </c>
      <c r="B9" s="42"/>
      <c r="C9" s="42"/>
      <c r="D9" s="42"/>
      <c r="E9" s="41"/>
    </row>
    <row r="10" spans="1:12">
      <c r="A10" s="58" t="s">
        <v>98</v>
      </c>
      <c r="B10" s="58"/>
      <c r="C10" s="58">
        <v>42856</v>
      </c>
      <c r="D10" s="58"/>
      <c r="E10" s="58" t="s">
        <v>38</v>
      </c>
    </row>
    <row r="11" spans="1:12" outlineLevel="2">
      <c r="A11" s="58" t="s">
        <v>99</v>
      </c>
      <c r="B11" s="58"/>
      <c r="C11" s="58">
        <v>43564</v>
      </c>
      <c r="D11" s="58"/>
      <c r="E11" s="58" t="s">
        <v>38</v>
      </c>
    </row>
    <row r="12" spans="1:12" outlineLevel="2">
      <c r="A12" s="58" t="s">
        <v>100</v>
      </c>
      <c r="B12" s="58"/>
      <c r="C12" s="58">
        <v>43559</v>
      </c>
      <c r="D12" s="58"/>
      <c r="E12" s="58" t="s">
        <v>38</v>
      </c>
      <c r="F12" s="2"/>
      <c r="G12" s="2"/>
      <c r="H12" s="2"/>
      <c r="I12" s="2"/>
      <c r="J12" s="2"/>
      <c r="K12" s="2"/>
      <c r="L12" s="2"/>
    </row>
    <row r="13" spans="1:12" s="2" customFormat="1" outlineLevel="2">
      <c r="A13" s="58" t="s">
        <v>101</v>
      </c>
      <c r="B13" s="58"/>
      <c r="C13" s="58">
        <v>43171</v>
      </c>
      <c r="D13" s="58"/>
      <c r="E13" s="58" t="s">
        <v>38</v>
      </c>
    </row>
    <row r="14" spans="1:12" s="2" customFormat="1" outlineLevel="2">
      <c r="A14" s="1"/>
      <c r="B14" s="1"/>
      <c r="E14" s="1"/>
      <c r="F14" s="1"/>
      <c r="G14" s="1"/>
      <c r="H14" s="1"/>
      <c r="I14" s="1"/>
      <c r="J14" s="1"/>
      <c r="K14" s="1"/>
      <c r="L14" s="1"/>
    </row>
  </sheetData>
  <mergeCells count="3">
    <mergeCell ref="D1:E1"/>
    <mergeCell ref="D2:E2"/>
    <mergeCell ref="D3:E3"/>
  </mergeCells>
  <dataValidations count="1">
    <dataValidation type="list" allowBlank="1" showInputMessage="1" showErrorMessage="1" sqref="E10:E13" xr:uid="{00000000-0002-0000-0B00-000000000000}">
      <formula1>"à realiser,en cours,en validaion,validé"</formula1>
    </dataValidation>
  </dataValidations>
  <printOptions horizontalCentered="1"/>
  <pageMargins left="0.23622047244094491" right="0.23622047244094491" top="0.23622047244094491" bottom="0.23622047244094491" header="0" footer="0"/>
  <pageSetup paperSize="9" scale="88"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20">
    <pageSetUpPr fitToPage="1"/>
  </sheetPr>
  <dimension ref="A1:BL46"/>
  <sheetViews>
    <sheetView showGridLines="0" topLeftCell="B1" zoomScale="80" zoomScaleNormal="80" workbookViewId="0">
      <selection activeCell="M10" sqref="M10"/>
    </sheetView>
  </sheetViews>
  <sheetFormatPr baseColWidth="10" defaultColWidth="16.88671875" defaultRowHeight="13.2"/>
  <cols>
    <col min="1" max="2" width="16.88671875" style="1"/>
    <col min="3" max="3" width="33.21875" style="1" customWidth="1"/>
    <col min="4" max="10" width="16.88671875" style="1"/>
    <col min="11" max="11" width="33.21875" style="1" customWidth="1"/>
    <col min="12" max="16384" width="16.88671875" style="1"/>
  </cols>
  <sheetData>
    <row r="1" spans="1:64">
      <c r="A1" s="14"/>
      <c r="B1" s="143" t="str">
        <f>"PLANNING COURANT  au "&amp;TEXT(K2,"jj/mm/aaaa")</f>
        <v>PLANNING COURANT  au 19/00/Donnerstag</v>
      </c>
      <c r="C1" s="144"/>
      <c r="D1" s="145"/>
      <c r="E1" s="145"/>
      <c r="F1" s="145"/>
      <c r="G1" s="145"/>
      <c r="H1" s="145"/>
      <c r="I1" s="145"/>
      <c r="J1" s="146"/>
      <c r="K1" s="153" t="str">
        <f>'1a-Identification Projet'!$L$1</f>
        <v>Ref; PD 002</v>
      </c>
      <c r="L1" s="153"/>
      <c r="M1" s="154"/>
    </row>
    <row r="2" spans="1:64" s="14" customFormat="1" ht="12.75" customHeight="1">
      <c r="B2" s="147"/>
      <c r="C2" s="148"/>
      <c r="D2" s="148"/>
      <c r="E2" s="148"/>
      <c r="F2" s="148"/>
      <c r="G2" s="148"/>
      <c r="H2" s="148"/>
      <c r="I2" s="148"/>
      <c r="J2" s="149"/>
      <c r="K2" s="155">
        <f>'1a-Identification Projet'!$L$2</f>
        <v>43524</v>
      </c>
      <c r="L2" s="156"/>
      <c r="M2" s="157"/>
    </row>
    <row r="3" spans="1:64" s="14" customFormat="1" ht="12.75" customHeight="1" thickBot="1">
      <c r="B3" s="150"/>
      <c r="C3" s="151"/>
      <c r="D3" s="151"/>
      <c r="E3" s="151"/>
      <c r="F3" s="151"/>
      <c r="G3" s="151"/>
      <c r="H3" s="151"/>
      <c r="I3" s="151"/>
      <c r="J3" s="152"/>
      <c r="K3" s="158" t="str">
        <f>'1a-Identification Projet'!$L$3</f>
        <v>Entreprise de prototypage de Toulouse</v>
      </c>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t="s">
        <v>345</v>
      </c>
      <c r="C7" s="162"/>
      <c r="D7" s="162"/>
      <c r="E7" s="162"/>
      <c r="F7" s="162"/>
      <c r="G7" s="162"/>
      <c r="H7" s="163"/>
      <c r="I7"/>
      <c r="J7" s="164" t="s">
        <v>345</v>
      </c>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ht="25.8" customHeight="1">
      <c r="B9" s="137" t="s">
        <v>264</v>
      </c>
      <c r="C9" s="137" t="s">
        <v>265</v>
      </c>
      <c r="D9" s="137" t="s">
        <v>266</v>
      </c>
      <c r="E9" s="137" t="s">
        <v>266</v>
      </c>
      <c r="F9" s="137" t="s">
        <v>267</v>
      </c>
      <c r="G9" s="137" t="s">
        <v>268</v>
      </c>
      <c r="H9" s="137">
        <v>6</v>
      </c>
      <c r="I9"/>
      <c r="J9" s="137" t="s">
        <v>264</v>
      </c>
      <c r="K9" s="137" t="s">
        <v>265</v>
      </c>
      <c r="L9" s="142">
        <v>46126</v>
      </c>
      <c r="M9" s="142">
        <v>46126</v>
      </c>
      <c r="N9" s="137" t="s">
        <v>267</v>
      </c>
      <c r="O9" s="137" t="s">
        <v>268</v>
      </c>
      <c r="P9" s="137">
        <v>6</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s="75" customFormat="1" ht="25.8" customHeight="1">
      <c r="B10" s="137" t="s">
        <v>269</v>
      </c>
      <c r="C10" s="137" t="s">
        <v>270</v>
      </c>
      <c r="D10" s="137" t="s">
        <v>266</v>
      </c>
      <c r="E10" s="137" t="s">
        <v>271</v>
      </c>
      <c r="F10" s="137" t="s">
        <v>264</v>
      </c>
      <c r="G10" s="137" t="s">
        <v>272</v>
      </c>
      <c r="H10" s="137">
        <v>20</v>
      </c>
      <c r="I10"/>
      <c r="J10" s="137"/>
      <c r="K10" s="137"/>
      <c r="L10" s="142"/>
      <c r="M10" s="142"/>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ht="25.8" customHeight="1">
      <c r="B11" s="137" t="s">
        <v>273</v>
      </c>
      <c r="C11" s="137" t="s">
        <v>274</v>
      </c>
      <c r="D11" s="137" t="s">
        <v>271</v>
      </c>
      <c r="E11" s="137" t="s">
        <v>275</v>
      </c>
      <c r="F11" s="137" t="s">
        <v>269</v>
      </c>
      <c r="G11" s="137" t="s">
        <v>276</v>
      </c>
      <c r="H11" s="137">
        <v>14</v>
      </c>
      <c r="I11"/>
      <c r="J11" s="137"/>
      <c r="K11" s="137"/>
      <c r="L11" s="142"/>
      <c r="M11" s="142"/>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ht="25.8" customHeight="1">
      <c r="B12" s="137" t="s">
        <v>277</v>
      </c>
      <c r="C12" s="137" t="s">
        <v>278</v>
      </c>
      <c r="D12" s="137" t="s">
        <v>275</v>
      </c>
      <c r="E12" s="137" t="s">
        <v>279</v>
      </c>
      <c r="F12" s="137" t="s">
        <v>269</v>
      </c>
      <c r="G12" s="137" t="s">
        <v>280</v>
      </c>
      <c r="H12" s="137">
        <v>10</v>
      </c>
      <c r="I12"/>
      <c r="J12" s="137"/>
      <c r="K12" s="137"/>
      <c r="L12" s="142"/>
      <c r="M12" s="142"/>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5.8" customHeight="1">
      <c r="B13" s="195" t="s">
        <v>346</v>
      </c>
      <c r="C13" s="196"/>
      <c r="D13" s="196"/>
      <c r="E13" s="196"/>
      <c r="F13" s="196"/>
      <c r="G13" s="196"/>
      <c r="H13" s="197"/>
      <c r="I13"/>
      <c r="J13" s="224"/>
      <c r="K13" s="225"/>
      <c r="L13" s="225"/>
      <c r="M13" s="225"/>
      <c r="N13" s="225"/>
      <c r="O13" s="225"/>
      <c r="P13" s="226"/>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ht="25.8" customHeight="1">
      <c r="B14" s="137" t="s">
        <v>347</v>
      </c>
      <c r="C14" s="137" t="s">
        <v>348</v>
      </c>
      <c r="D14" s="137" t="s">
        <v>349</v>
      </c>
      <c r="E14" s="137" t="s">
        <v>349</v>
      </c>
      <c r="F14" s="137" t="s">
        <v>277</v>
      </c>
      <c r="G14" s="137" t="s">
        <v>350</v>
      </c>
      <c r="H14" s="137">
        <v>6</v>
      </c>
      <c r="I14"/>
      <c r="J14" s="137"/>
      <c r="K14" s="137"/>
      <c r="L14" s="142"/>
      <c r="M14" s="142"/>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s="75" customFormat="1" ht="25.8" customHeight="1">
      <c r="B15" s="137" t="s">
        <v>316</v>
      </c>
      <c r="C15" s="137" t="s">
        <v>351</v>
      </c>
      <c r="D15" s="137" t="s">
        <v>349</v>
      </c>
      <c r="E15" s="137" t="s">
        <v>352</v>
      </c>
      <c r="F15" s="137" t="s">
        <v>347</v>
      </c>
      <c r="G15" s="137" t="s">
        <v>353</v>
      </c>
      <c r="H15" s="137">
        <v>14</v>
      </c>
      <c r="I15"/>
      <c r="J15" s="137"/>
      <c r="K15" s="137"/>
      <c r="L15" s="142"/>
      <c r="M15" s="142"/>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5.8" customHeight="1">
      <c r="B16" s="137" t="s">
        <v>354</v>
      </c>
      <c r="C16" s="137" t="s">
        <v>355</v>
      </c>
      <c r="D16" s="137" t="s">
        <v>352</v>
      </c>
      <c r="E16" s="137" t="s">
        <v>352</v>
      </c>
      <c r="F16" s="137" t="s">
        <v>347</v>
      </c>
      <c r="G16" s="137" t="s">
        <v>276</v>
      </c>
      <c r="H16" s="137">
        <v>8</v>
      </c>
      <c r="I16"/>
      <c r="J16" s="137"/>
      <c r="K16" s="137"/>
      <c r="L16" s="142"/>
      <c r="M16" s="142"/>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ht="25.8" customHeight="1">
      <c r="B17" s="137" t="s">
        <v>356</v>
      </c>
      <c r="C17" s="137" t="s">
        <v>357</v>
      </c>
      <c r="D17" s="137" t="s">
        <v>352</v>
      </c>
      <c r="E17" s="137" t="s">
        <v>358</v>
      </c>
      <c r="F17" s="137" t="s">
        <v>354</v>
      </c>
      <c r="G17" s="137" t="s">
        <v>285</v>
      </c>
      <c r="H17" s="137">
        <v>16</v>
      </c>
      <c r="I17"/>
      <c r="J17" s="137"/>
      <c r="K17" s="137"/>
      <c r="L17" s="142"/>
      <c r="M17" s="142"/>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25.8" customHeight="1">
      <c r="B18" s="137" t="s">
        <v>284</v>
      </c>
      <c r="C18" s="137" t="s">
        <v>359</v>
      </c>
      <c r="D18" s="137" t="s">
        <v>358</v>
      </c>
      <c r="E18" s="137" t="s">
        <v>360</v>
      </c>
      <c r="F18" s="137" t="s">
        <v>356</v>
      </c>
      <c r="G18" s="137" t="s">
        <v>361</v>
      </c>
      <c r="H18" s="137">
        <v>18</v>
      </c>
      <c r="I18"/>
      <c r="J18" s="137"/>
      <c r="K18" s="137"/>
      <c r="L18" s="142"/>
      <c r="M18" s="142"/>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ht="25.8" customHeight="1">
      <c r="B19" s="198" t="s">
        <v>365</v>
      </c>
      <c r="C19" s="199"/>
      <c r="D19" s="199"/>
      <c r="E19" s="199"/>
      <c r="F19" s="199"/>
      <c r="G19" s="199"/>
      <c r="H19" s="200"/>
      <c r="I19"/>
      <c r="J19" s="233"/>
      <c r="K19" s="234"/>
      <c r="L19" s="234"/>
      <c r="M19" s="234"/>
      <c r="N19" s="234"/>
      <c r="O19" s="234"/>
      <c r="P19" s="235"/>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5.8" customHeight="1">
      <c r="B20" s="137" t="s">
        <v>299</v>
      </c>
      <c r="C20" s="137" t="s">
        <v>300</v>
      </c>
      <c r="D20" s="137" t="s">
        <v>301</v>
      </c>
      <c r="E20" s="137" t="s">
        <v>301</v>
      </c>
      <c r="F20" s="137" t="s">
        <v>284</v>
      </c>
      <c r="G20" s="137" t="s">
        <v>302</v>
      </c>
      <c r="H20" s="137">
        <v>10</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ht="25.8" customHeight="1">
      <c r="B21" s="137" t="s">
        <v>303</v>
      </c>
      <c r="C21" s="137" t="s">
        <v>130</v>
      </c>
      <c r="D21" s="137" t="s">
        <v>301</v>
      </c>
      <c r="E21" s="137" t="s">
        <v>304</v>
      </c>
      <c r="F21" s="137" t="s">
        <v>299</v>
      </c>
      <c r="G21" s="137" t="s">
        <v>302</v>
      </c>
      <c r="H21" s="137">
        <v>10</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5.8" customHeight="1">
      <c r="B22" s="137" t="s">
        <v>305</v>
      </c>
      <c r="C22" s="137" t="s">
        <v>306</v>
      </c>
      <c r="D22" s="137" t="s">
        <v>304</v>
      </c>
      <c r="E22" s="137" t="s">
        <v>307</v>
      </c>
      <c r="F22" s="137" t="s">
        <v>303</v>
      </c>
      <c r="G22" s="137" t="s">
        <v>308</v>
      </c>
      <c r="H22" s="137">
        <v>14</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ht="25.8" customHeight="1">
      <c r="B23" s="137" t="s">
        <v>309</v>
      </c>
      <c r="C23" s="137" t="s">
        <v>310</v>
      </c>
      <c r="D23" s="137" t="s">
        <v>307</v>
      </c>
      <c r="E23" s="137" t="s">
        <v>311</v>
      </c>
      <c r="F23" s="137" t="s">
        <v>284</v>
      </c>
      <c r="G23" s="137" t="s">
        <v>312</v>
      </c>
      <c r="H23" s="137">
        <v>10</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25.8" customHeight="1">
      <c r="B24" s="198" t="s">
        <v>366</v>
      </c>
      <c r="C24" s="199"/>
      <c r="D24" s="199"/>
      <c r="E24" s="199"/>
      <c r="F24" s="199"/>
      <c r="G24" s="199"/>
      <c r="H24" s="200"/>
      <c r="I24"/>
      <c r="J24" s="227"/>
      <c r="K24" s="228"/>
      <c r="L24" s="228"/>
      <c r="M24" s="228"/>
      <c r="N24" s="228"/>
      <c r="O24" s="228"/>
      <c r="P24" s="229"/>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5.8" customHeight="1">
      <c r="B25" s="137" t="s">
        <v>281</v>
      </c>
      <c r="C25" s="137" t="s">
        <v>282</v>
      </c>
      <c r="D25" s="137" t="s">
        <v>283</v>
      </c>
      <c r="E25" s="137" t="s">
        <v>283</v>
      </c>
      <c r="F25" s="137" t="s">
        <v>284</v>
      </c>
      <c r="G25" s="137" t="s">
        <v>285</v>
      </c>
      <c r="H25" s="137">
        <v>8</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5.8" customHeight="1">
      <c r="B26" s="137" t="s">
        <v>286</v>
      </c>
      <c r="C26" s="137" t="s">
        <v>155</v>
      </c>
      <c r="D26" s="137" t="s">
        <v>283</v>
      </c>
      <c r="E26" s="137" t="s">
        <v>287</v>
      </c>
      <c r="F26" s="137" t="s">
        <v>281</v>
      </c>
      <c r="G26" s="137" t="s">
        <v>288</v>
      </c>
      <c r="H26" s="137">
        <v>12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ht="25.8" customHeight="1">
      <c r="B27" s="137" t="s">
        <v>289</v>
      </c>
      <c r="C27" s="137" t="s">
        <v>159</v>
      </c>
      <c r="D27" s="137" t="s">
        <v>287</v>
      </c>
      <c r="E27" s="137" t="s">
        <v>290</v>
      </c>
      <c r="F27" s="137" t="s">
        <v>286</v>
      </c>
      <c r="G27" s="137" t="s">
        <v>291</v>
      </c>
      <c r="H27" s="137">
        <v>16</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5.8" customHeight="1">
      <c r="B28" s="137" t="s">
        <v>292</v>
      </c>
      <c r="C28" s="137" t="s">
        <v>293</v>
      </c>
      <c r="D28" s="137" t="s">
        <v>290</v>
      </c>
      <c r="E28" s="137" t="s">
        <v>290</v>
      </c>
      <c r="F28" s="137" t="s">
        <v>286</v>
      </c>
      <c r="G28" s="137" t="s">
        <v>294</v>
      </c>
      <c r="H28" s="137">
        <v>8</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25.8" customHeight="1">
      <c r="B29" s="137" t="s">
        <v>295</v>
      </c>
      <c r="C29" s="137" t="s">
        <v>296</v>
      </c>
      <c r="D29" s="137" t="s">
        <v>290</v>
      </c>
      <c r="E29" s="137" t="s">
        <v>297</v>
      </c>
      <c r="F29" s="137" t="s">
        <v>292</v>
      </c>
      <c r="G29" s="137" t="s">
        <v>298</v>
      </c>
      <c r="H29" s="137">
        <v>10</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ht="25.8" customHeight="1">
      <c r="B30" s="198" t="s">
        <v>363</v>
      </c>
      <c r="C30" s="199"/>
      <c r="D30" s="199"/>
      <c r="E30" s="199"/>
      <c r="F30" s="199"/>
      <c r="G30" s="199"/>
      <c r="H30" s="200"/>
      <c r="I30"/>
      <c r="J30" s="227"/>
      <c r="K30" s="228"/>
      <c r="L30" s="228"/>
      <c r="M30" s="228"/>
      <c r="N30" s="228"/>
      <c r="O30" s="228"/>
      <c r="P30" s="229"/>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ht="25.8" customHeight="1">
      <c r="B31" s="137" t="s">
        <v>313</v>
      </c>
      <c r="C31" s="137" t="s">
        <v>314</v>
      </c>
      <c r="D31" s="137" t="s">
        <v>315</v>
      </c>
      <c r="E31" s="137" t="s">
        <v>315</v>
      </c>
      <c r="F31" s="137" t="s">
        <v>316</v>
      </c>
      <c r="G31" s="137" t="s">
        <v>317</v>
      </c>
      <c r="H31" s="137">
        <v>6</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ht="25.8" customHeight="1">
      <c r="B32" s="137" t="s">
        <v>318</v>
      </c>
      <c r="C32" s="137" t="s">
        <v>319</v>
      </c>
      <c r="D32" s="137" t="s">
        <v>315</v>
      </c>
      <c r="E32" s="137" t="s">
        <v>320</v>
      </c>
      <c r="F32" s="137" t="s">
        <v>313</v>
      </c>
      <c r="G32" s="137" t="s">
        <v>317</v>
      </c>
      <c r="H32" s="137">
        <v>10</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ht="25.8" customHeight="1">
      <c r="B33" s="137" t="s">
        <v>321</v>
      </c>
      <c r="C33" s="137" t="s">
        <v>322</v>
      </c>
      <c r="D33" s="137" t="s">
        <v>320</v>
      </c>
      <c r="E33" s="137" t="s">
        <v>320</v>
      </c>
      <c r="F33" s="137" t="s">
        <v>318</v>
      </c>
      <c r="G33" s="137" t="s">
        <v>317</v>
      </c>
      <c r="H33" s="137">
        <v>8</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ht="25.8" customHeight="1">
      <c r="B34" s="137" t="s">
        <v>323</v>
      </c>
      <c r="C34" s="137" t="s">
        <v>324</v>
      </c>
      <c r="D34" s="137" t="s">
        <v>320</v>
      </c>
      <c r="E34" s="137" t="s">
        <v>325</v>
      </c>
      <c r="F34" s="137" t="s">
        <v>318</v>
      </c>
      <c r="G34" s="137" t="s">
        <v>317</v>
      </c>
      <c r="H34" s="137">
        <v>14</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ht="25.8" customHeight="1">
      <c r="B35" s="137" t="s">
        <v>326</v>
      </c>
      <c r="C35" s="137" t="s">
        <v>327</v>
      </c>
      <c r="D35" s="137" t="s">
        <v>325</v>
      </c>
      <c r="E35" s="137" t="s">
        <v>328</v>
      </c>
      <c r="F35" s="137" t="s">
        <v>323</v>
      </c>
      <c r="G35" s="137" t="s">
        <v>317</v>
      </c>
      <c r="H35" s="137">
        <v>18</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ht="25.8" customHeight="1">
      <c r="B36" s="137" t="s">
        <v>329</v>
      </c>
      <c r="C36" s="137" t="s">
        <v>182</v>
      </c>
      <c r="D36" s="137" t="s">
        <v>328</v>
      </c>
      <c r="E36" s="137" t="s">
        <v>328</v>
      </c>
      <c r="F36" s="137" t="s">
        <v>326</v>
      </c>
      <c r="G36" s="137" t="s">
        <v>330</v>
      </c>
      <c r="H36" s="137">
        <v>10</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ht="25.8" customHeight="1">
      <c r="B37" s="192" t="s">
        <v>364</v>
      </c>
      <c r="C37" s="193"/>
      <c r="D37" s="193"/>
      <c r="E37" s="193"/>
      <c r="F37" s="193"/>
      <c r="G37" s="193"/>
      <c r="H37" s="194"/>
      <c r="I37"/>
      <c r="J37" s="230"/>
      <c r="K37" s="231"/>
      <c r="L37" s="231"/>
      <c r="M37" s="231"/>
      <c r="N37" s="231"/>
      <c r="O37" s="231"/>
      <c r="P37" s="232"/>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ht="25.8" customHeight="1">
      <c r="B38" s="137" t="s">
        <v>331</v>
      </c>
      <c r="C38" s="137" t="s">
        <v>236</v>
      </c>
      <c r="D38" s="137" t="s">
        <v>332</v>
      </c>
      <c r="E38" s="137" t="s">
        <v>332</v>
      </c>
      <c r="F38" s="137" t="s">
        <v>295</v>
      </c>
      <c r="G38" s="137" t="s">
        <v>333</v>
      </c>
      <c r="H38" s="137">
        <v>10</v>
      </c>
      <c r="I38"/>
      <c r="J38" s="137"/>
      <c r="K38" s="137"/>
      <c r="L38" s="137"/>
      <c r="M38" s="137"/>
      <c r="N38" s="137"/>
      <c r="O38" s="137"/>
      <c r="P38" s="137"/>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ht="25.8" customHeight="1">
      <c r="B39" s="137" t="s">
        <v>334</v>
      </c>
      <c r="C39" s="137" t="s">
        <v>231</v>
      </c>
      <c r="D39" s="137" t="s">
        <v>335</v>
      </c>
      <c r="E39" s="137" t="s">
        <v>335</v>
      </c>
      <c r="F39" s="137" t="s">
        <v>331</v>
      </c>
      <c r="G39" s="137" t="s">
        <v>336</v>
      </c>
      <c r="H39" s="137">
        <v>10</v>
      </c>
      <c r="I39"/>
      <c r="J39" s="137"/>
      <c r="K39" s="137"/>
      <c r="L39" s="137"/>
      <c r="M39" s="137"/>
      <c r="N39" s="137"/>
      <c r="O39" s="137"/>
      <c r="P39" s="137"/>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ht="25.8" customHeight="1">
      <c r="B40" s="137" t="s">
        <v>337</v>
      </c>
      <c r="C40" s="137" t="s">
        <v>207</v>
      </c>
      <c r="D40" s="137" t="s">
        <v>335</v>
      </c>
      <c r="E40" s="137" t="s">
        <v>338</v>
      </c>
      <c r="F40" s="137" t="s">
        <v>334</v>
      </c>
      <c r="G40" s="137" t="s">
        <v>339</v>
      </c>
      <c r="H40" s="137">
        <v>8</v>
      </c>
      <c r="I40"/>
      <c r="J40" s="137"/>
      <c r="K40" s="137"/>
      <c r="L40" s="137"/>
      <c r="M40" s="137"/>
      <c r="N40" s="137"/>
      <c r="O40" s="137"/>
      <c r="P40" s="137"/>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ht="25.8" customHeight="1">
      <c r="B41" s="137" t="s">
        <v>340</v>
      </c>
      <c r="C41" s="137" t="s">
        <v>341</v>
      </c>
      <c r="D41" s="137" t="s">
        <v>338</v>
      </c>
      <c r="E41" s="137" t="s">
        <v>342</v>
      </c>
      <c r="F41" s="137" t="s">
        <v>334</v>
      </c>
      <c r="G41" s="137" t="s">
        <v>226</v>
      </c>
      <c r="H41" s="137">
        <v>10</v>
      </c>
      <c r="I41"/>
      <c r="J41" s="137"/>
      <c r="K41" s="137"/>
      <c r="L41" s="137"/>
      <c r="M41" s="137"/>
      <c r="N41" s="137"/>
      <c r="O41" s="137"/>
      <c r="P41" s="137"/>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ht="25.8" customHeight="1">
      <c r="B42" s="137" t="s">
        <v>343</v>
      </c>
      <c r="C42" s="137" t="s">
        <v>344</v>
      </c>
      <c r="D42" s="137" t="s">
        <v>338</v>
      </c>
      <c r="E42" s="137" t="s">
        <v>342</v>
      </c>
      <c r="F42" s="137" t="s">
        <v>329</v>
      </c>
      <c r="G42" s="137" t="s">
        <v>330</v>
      </c>
      <c r="H42" s="137">
        <v>10</v>
      </c>
      <c r="I42"/>
      <c r="J42" s="137"/>
      <c r="K42" s="137"/>
      <c r="L42" s="137"/>
      <c r="M42" s="137"/>
      <c r="N42" s="137"/>
      <c r="O42" s="137"/>
      <c r="P42" s="137"/>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row r="46" spans="2:64">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row>
  </sheetData>
  <sheetProtection selectLockedCells="1" selectUnlockedCells="1"/>
  <mergeCells count="16">
    <mergeCell ref="K1:M1"/>
    <mergeCell ref="K2:M2"/>
    <mergeCell ref="K3:M3"/>
    <mergeCell ref="B1:J3"/>
    <mergeCell ref="B37:H37"/>
    <mergeCell ref="J7:P7"/>
    <mergeCell ref="J13:P13"/>
    <mergeCell ref="J24:P24"/>
    <mergeCell ref="J30:P30"/>
    <mergeCell ref="J37:P37"/>
    <mergeCell ref="J19:P19"/>
    <mergeCell ref="B7:H7"/>
    <mergeCell ref="B13:H13"/>
    <mergeCell ref="B24:H24"/>
    <mergeCell ref="B19:H19"/>
    <mergeCell ref="B30:H30"/>
  </mergeCells>
  <pageMargins left="0.23622047244094491" right="0.23622047244094491" top="0.23622047244094491" bottom="0.23622047244094491" header="0" footer="0"/>
  <pageSetup paperSize="9" scale="84" firstPageNumber="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4B61-B8D0-4A68-8A9C-D24467F4604A}">
  <sheetPr>
    <pageSetUpPr fitToPage="1"/>
  </sheetPr>
  <dimension ref="A1:BL45"/>
  <sheetViews>
    <sheetView showGridLines="0" tabSelected="1" zoomScale="59" zoomScaleNormal="80" workbookViewId="0">
      <selection activeCell="L19" sqref="L19"/>
    </sheetView>
  </sheetViews>
  <sheetFormatPr baseColWidth="10" defaultColWidth="11.44140625" defaultRowHeight="13.2"/>
  <cols>
    <col min="1" max="1" width="1.6640625" style="1" customWidth="1"/>
    <col min="2" max="2" width="14" style="1" customWidth="1"/>
    <col min="3" max="3" width="31.33203125" style="1" customWidth="1"/>
    <col min="4" max="4" width="16.44140625" style="1" customWidth="1"/>
    <col min="5" max="5" width="17" style="1" customWidth="1"/>
    <col min="6" max="6" width="16.33203125" style="1" customWidth="1"/>
    <col min="7" max="7" width="21.44140625" style="1" customWidth="1"/>
    <col min="8" max="8" width="11.44140625" style="1"/>
    <col min="9" max="9" width="17.5546875" style="1" customWidth="1"/>
    <col min="10" max="10" width="17" style="1" customWidth="1"/>
    <col min="11" max="11" width="25.6640625" style="1" customWidth="1"/>
    <col min="12" max="12" width="22.77734375" style="1" customWidth="1"/>
    <col min="13" max="13" width="23" style="1" customWidth="1"/>
    <col min="14" max="14" width="15.77734375" style="1" customWidth="1"/>
    <col min="15" max="15" width="18.5546875" style="1" customWidth="1"/>
    <col min="16" max="16384" width="11.44140625" style="1"/>
  </cols>
  <sheetData>
    <row r="1" spans="1:64">
      <c r="A1" s="14"/>
      <c r="B1" s="143" t="s">
        <v>841</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ht="31.2" customHeight="1">
      <c r="B9" s="137" t="s">
        <v>264</v>
      </c>
      <c r="C9" s="137" t="s">
        <v>367</v>
      </c>
      <c r="D9" s="137" t="s">
        <v>368</v>
      </c>
      <c r="E9" s="137" t="s">
        <v>368</v>
      </c>
      <c r="F9" s="137" t="s">
        <v>267</v>
      </c>
      <c r="G9" s="137" t="s">
        <v>369</v>
      </c>
      <c r="H9" s="137">
        <v>2</v>
      </c>
      <c r="I9"/>
      <c r="J9" s="137" t="s">
        <v>264</v>
      </c>
      <c r="K9" s="137" t="s">
        <v>367</v>
      </c>
      <c r="L9" s="142">
        <v>46126</v>
      </c>
      <c r="M9" s="142">
        <v>46126</v>
      </c>
      <c r="N9" s="137" t="s">
        <v>267</v>
      </c>
      <c r="O9" s="137" t="s">
        <v>369</v>
      </c>
      <c r="P9" s="137">
        <v>2</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ht="31.2" customHeight="1">
      <c r="B10" s="137" t="s">
        <v>269</v>
      </c>
      <c r="C10" s="137" t="s">
        <v>370</v>
      </c>
      <c r="D10" s="137" t="s">
        <v>371</v>
      </c>
      <c r="E10" s="137" t="s">
        <v>371</v>
      </c>
      <c r="F10" s="137" t="s">
        <v>264</v>
      </c>
      <c r="G10" s="137" t="s">
        <v>339</v>
      </c>
      <c r="H10" s="137">
        <v>2</v>
      </c>
      <c r="I10"/>
      <c r="J10" s="137" t="s">
        <v>269</v>
      </c>
      <c r="K10" s="137" t="s">
        <v>370</v>
      </c>
      <c r="L10" s="142">
        <v>46126</v>
      </c>
      <c r="M10" s="142">
        <v>46126</v>
      </c>
      <c r="N10" s="137" t="s">
        <v>264</v>
      </c>
      <c r="O10" s="137" t="s">
        <v>339</v>
      </c>
      <c r="P10" s="137">
        <v>2</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ht="31.2" customHeight="1">
      <c r="B11" s="137" t="s">
        <v>273</v>
      </c>
      <c r="C11" s="137" t="s">
        <v>372</v>
      </c>
      <c r="D11" s="137" t="s">
        <v>373</v>
      </c>
      <c r="E11" s="137" t="s">
        <v>373</v>
      </c>
      <c r="F11" s="137" t="s">
        <v>264</v>
      </c>
      <c r="G11" s="137" t="s">
        <v>374</v>
      </c>
      <c r="H11" s="137">
        <v>2</v>
      </c>
      <c r="I11"/>
      <c r="J11" s="137" t="s">
        <v>273</v>
      </c>
      <c r="K11" s="137" t="s">
        <v>372</v>
      </c>
      <c r="L11" s="142">
        <v>46127</v>
      </c>
      <c r="M11" s="142">
        <v>46128</v>
      </c>
      <c r="N11" s="137" t="s">
        <v>264</v>
      </c>
      <c r="O11" s="137" t="s">
        <v>374</v>
      </c>
      <c r="P11" s="137">
        <v>2</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ht="31.2" customHeight="1">
      <c r="B12" s="140" t="s">
        <v>277</v>
      </c>
      <c r="C12" s="140" t="s">
        <v>375</v>
      </c>
      <c r="D12" s="140" t="s">
        <v>376</v>
      </c>
      <c r="E12" s="140" t="s">
        <v>376</v>
      </c>
      <c r="F12" s="140" t="s">
        <v>273</v>
      </c>
      <c r="G12" s="140" t="s">
        <v>374</v>
      </c>
      <c r="H12" s="140">
        <v>2</v>
      </c>
      <c r="I12"/>
      <c r="J12" s="137" t="s">
        <v>277</v>
      </c>
      <c r="K12" s="137" t="s">
        <v>375</v>
      </c>
      <c r="L12" s="142">
        <v>46128</v>
      </c>
      <c r="M12" s="142">
        <v>46129</v>
      </c>
      <c r="N12" s="137" t="s">
        <v>273</v>
      </c>
      <c r="O12" s="137" t="s">
        <v>374</v>
      </c>
      <c r="P12" s="137">
        <v>2</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31.2" customHeight="1">
      <c r="B13" s="140" t="s">
        <v>347</v>
      </c>
      <c r="C13" s="140" t="s">
        <v>377</v>
      </c>
      <c r="D13" s="140" t="s">
        <v>378</v>
      </c>
      <c r="E13" s="140" t="s">
        <v>378</v>
      </c>
      <c r="F13" s="140" t="s">
        <v>277</v>
      </c>
      <c r="G13" s="140" t="s">
        <v>374</v>
      </c>
      <c r="H13" s="140">
        <v>2</v>
      </c>
      <c r="I13"/>
      <c r="J13" s="137" t="s">
        <v>347</v>
      </c>
      <c r="K13" s="137" t="s">
        <v>377</v>
      </c>
      <c r="L13" s="142">
        <v>46129</v>
      </c>
      <c r="M13" s="142">
        <v>46129</v>
      </c>
      <c r="N13" s="137" t="s">
        <v>277</v>
      </c>
      <c r="O13" s="137" t="s">
        <v>374</v>
      </c>
      <c r="P13" s="137">
        <v>2</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31.2" customHeight="1">
      <c r="B14" s="140" t="s">
        <v>316</v>
      </c>
      <c r="C14" s="140" t="s">
        <v>379</v>
      </c>
      <c r="D14" s="140" t="s">
        <v>380</v>
      </c>
      <c r="E14" s="140" t="s">
        <v>380</v>
      </c>
      <c r="F14" s="140" t="s">
        <v>347</v>
      </c>
      <c r="G14" s="140" t="s">
        <v>374</v>
      </c>
      <c r="H14" s="140">
        <v>2</v>
      </c>
      <c r="I14"/>
      <c r="J14" s="140" t="s">
        <v>316</v>
      </c>
      <c r="K14" s="140" t="s">
        <v>379</v>
      </c>
      <c r="L14" s="238">
        <v>46136</v>
      </c>
      <c r="M14" s="238">
        <v>46136</v>
      </c>
      <c r="N14" s="140" t="s">
        <v>347</v>
      </c>
      <c r="O14" s="140" t="s">
        <v>374</v>
      </c>
      <c r="P14" s="140">
        <v>2</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ht="31.2" customHeight="1">
      <c r="B15" s="140" t="s">
        <v>354</v>
      </c>
      <c r="C15" s="140" t="s">
        <v>381</v>
      </c>
      <c r="D15" s="140" t="s">
        <v>382</v>
      </c>
      <c r="E15" s="140" t="s">
        <v>382</v>
      </c>
      <c r="F15" s="140" t="s">
        <v>316</v>
      </c>
      <c r="G15" s="140" t="s">
        <v>374</v>
      </c>
      <c r="H15" s="140">
        <v>2</v>
      </c>
      <c r="I15"/>
      <c r="J15" s="140" t="s">
        <v>354</v>
      </c>
      <c r="K15" s="140" t="s">
        <v>381</v>
      </c>
      <c r="L15" s="238">
        <v>46136</v>
      </c>
      <c r="M15" s="238">
        <v>46136</v>
      </c>
      <c r="N15" s="140" t="s">
        <v>316</v>
      </c>
      <c r="O15" s="140" t="s">
        <v>374</v>
      </c>
      <c r="P15" s="140">
        <v>2</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31.2" customHeight="1">
      <c r="B16" s="140" t="s">
        <v>356</v>
      </c>
      <c r="C16" s="140" t="s">
        <v>383</v>
      </c>
      <c r="D16" s="140" t="s">
        <v>384</v>
      </c>
      <c r="E16" s="140" t="s">
        <v>384</v>
      </c>
      <c r="F16" s="140" t="s">
        <v>354</v>
      </c>
      <c r="G16" s="140" t="s">
        <v>374</v>
      </c>
      <c r="H16" s="140">
        <v>2</v>
      </c>
      <c r="I16"/>
      <c r="J16" s="140" t="s">
        <v>356</v>
      </c>
      <c r="K16" s="140" t="s">
        <v>383</v>
      </c>
      <c r="L16" s="238">
        <v>46136</v>
      </c>
      <c r="M16" s="238">
        <v>46136</v>
      </c>
      <c r="N16" s="140" t="s">
        <v>354</v>
      </c>
      <c r="O16" s="140" t="s">
        <v>374</v>
      </c>
      <c r="P16" s="140">
        <v>2</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ht="31.2" customHeight="1">
      <c r="B17" s="140" t="s">
        <v>284</v>
      </c>
      <c r="C17" s="140" t="s">
        <v>385</v>
      </c>
      <c r="D17" s="140" t="s">
        <v>386</v>
      </c>
      <c r="E17" s="140" t="s">
        <v>386</v>
      </c>
      <c r="F17" s="140" t="s">
        <v>356</v>
      </c>
      <c r="G17" s="140" t="s">
        <v>374</v>
      </c>
      <c r="H17" s="140">
        <v>2</v>
      </c>
      <c r="I17"/>
      <c r="J17" s="140" t="s">
        <v>284</v>
      </c>
      <c r="K17" s="140" t="s">
        <v>385</v>
      </c>
      <c r="L17" s="238">
        <v>46136</v>
      </c>
      <c r="M17" s="238">
        <v>46136</v>
      </c>
      <c r="N17" s="140" t="s">
        <v>356</v>
      </c>
      <c r="O17" s="140" t="s">
        <v>374</v>
      </c>
      <c r="P17" s="140">
        <v>2</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31.2" customHeight="1">
      <c r="B18" s="140" t="s">
        <v>299</v>
      </c>
      <c r="C18" s="140" t="s">
        <v>387</v>
      </c>
      <c r="D18" s="140" t="s">
        <v>388</v>
      </c>
      <c r="E18" s="140" t="s">
        <v>388</v>
      </c>
      <c r="F18" s="140" t="s">
        <v>284</v>
      </c>
      <c r="G18" s="140" t="s">
        <v>389</v>
      </c>
      <c r="H18" s="140">
        <v>2</v>
      </c>
      <c r="I18"/>
      <c r="J18" s="140" t="s">
        <v>299</v>
      </c>
      <c r="K18" s="140" t="s">
        <v>387</v>
      </c>
      <c r="L18" s="238">
        <v>46136</v>
      </c>
      <c r="M18" s="238">
        <v>46136</v>
      </c>
      <c r="N18" s="140" t="s">
        <v>284</v>
      </c>
      <c r="O18" s="140" t="s">
        <v>389</v>
      </c>
      <c r="P18" s="140">
        <v>2</v>
      </c>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ht="31.2" customHeight="1">
      <c r="B19" s="140" t="s">
        <v>303</v>
      </c>
      <c r="C19" s="140" t="s">
        <v>390</v>
      </c>
      <c r="D19" s="140" t="s">
        <v>391</v>
      </c>
      <c r="E19" s="140" t="s">
        <v>391</v>
      </c>
      <c r="F19" s="140" t="s">
        <v>299</v>
      </c>
      <c r="G19" s="140" t="s">
        <v>276</v>
      </c>
      <c r="H19" s="140">
        <v>2</v>
      </c>
      <c r="I19"/>
      <c r="J19" s="140" t="s">
        <v>303</v>
      </c>
      <c r="K19" s="140" t="s">
        <v>390</v>
      </c>
      <c r="L19" s="238">
        <v>46136</v>
      </c>
      <c r="M19" s="238">
        <v>46136</v>
      </c>
      <c r="N19" s="140" t="s">
        <v>299</v>
      </c>
      <c r="O19" s="140" t="s">
        <v>276</v>
      </c>
      <c r="P19" s="140">
        <v>2</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31.2" customHeight="1">
      <c r="B20" s="140" t="s">
        <v>305</v>
      </c>
      <c r="C20" s="140" t="s">
        <v>392</v>
      </c>
      <c r="D20" s="140" t="s">
        <v>393</v>
      </c>
      <c r="E20" s="140" t="s">
        <v>393</v>
      </c>
      <c r="F20" s="140" t="s">
        <v>303</v>
      </c>
      <c r="G20" s="140" t="s">
        <v>276</v>
      </c>
      <c r="H20" s="140">
        <v>2</v>
      </c>
      <c r="I20"/>
      <c r="J20" s="140" t="s">
        <v>305</v>
      </c>
      <c r="K20" s="140" t="s">
        <v>392</v>
      </c>
      <c r="L20" s="238">
        <v>46137</v>
      </c>
      <c r="M20" s="238">
        <v>46137</v>
      </c>
      <c r="N20" s="140" t="s">
        <v>303</v>
      </c>
      <c r="O20" s="140" t="s">
        <v>276</v>
      </c>
      <c r="P20" s="140">
        <v>2</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ht="31.2" customHeight="1">
      <c r="B21" s="140" t="s">
        <v>309</v>
      </c>
      <c r="C21" s="140" t="s">
        <v>394</v>
      </c>
      <c r="D21" s="140" t="s">
        <v>395</v>
      </c>
      <c r="E21" s="140" t="s">
        <v>395</v>
      </c>
      <c r="F21" s="140" t="s">
        <v>305</v>
      </c>
      <c r="G21" s="140" t="s">
        <v>276</v>
      </c>
      <c r="H21" s="140">
        <v>2</v>
      </c>
      <c r="I21"/>
      <c r="J21" s="140" t="s">
        <v>309</v>
      </c>
      <c r="K21" s="140" t="s">
        <v>394</v>
      </c>
      <c r="L21" s="238">
        <v>46138</v>
      </c>
      <c r="M21" s="238">
        <v>46138</v>
      </c>
      <c r="N21" s="140" t="s">
        <v>305</v>
      </c>
      <c r="O21" s="140" t="s">
        <v>276</v>
      </c>
      <c r="P21" s="140">
        <v>2</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31.2" customHeight="1">
      <c r="B22" s="140" t="s">
        <v>281</v>
      </c>
      <c r="C22" s="140" t="s">
        <v>396</v>
      </c>
      <c r="D22" s="140" t="s">
        <v>397</v>
      </c>
      <c r="E22" s="140" t="s">
        <v>397</v>
      </c>
      <c r="F22" s="140" t="s">
        <v>309</v>
      </c>
      <c r="G22" s="140" t="s">
        <v>276</v>
      </c>
      <c r="H22" s="140">
        <v>2</v>
      </c>
      <c r="I22"/>
      <c r="J22" s="140" t="s">
        <v>281</v>
      </c>
      <c r="K22" s="140" t="s">
        <v>396</v>
      </c>
      <c r="L22" s="238">
        <v>46139</v>
      </c>
      <c r="M22" s="238">
        <v>46139</v>
      </c>
      <c r="N22" s="140" t="s">
        <v>309</v>
      </c>
      <c r="O22" s="140" t="s">
        <v>276</v>
      </c>
      <c r="P22" s="140">
        <v>2</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ht="31.2" customHeight="1">
      <c r="B23" s="140" t="s">
        <v>286</v>
      </c>
      <c r="C23" s="140" t="s">
        <v>398</v>
      </c>
      <c r="D23" s="140" t="s">
        <v>399</v>
      </c>
      <c r="E23" s="140" t="s">
        <v>399</v>
      </c>
      <c r="F23" s="140" t="s">
        <v>299</v>
      </c>
      <c r="G23" s="140" t="s">
        <v>400</v>
      </c>
      <c r="H23" s="140">
        <v>2</v>
      </c>
      <c r="I23"/>
      <c r="J23" s="137"/>
      <c r="K23" s="137"/>
      <c r="L23" s="142"/>
      <c r="M23" s="142"/>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31.2" customHeight="1">
      <c r="B24" s="140" t="s">
        <v>289</v>
      </c>
      <c r="C24" s="140" t="s">
        <v>401</v>
      </c>
      <c r="D24" s="140" t="s">
        <v>402</v>
      </c>
      <c r="E24" s="140" t="s">
        <v>402</v>
      </c>
      <c r="F24" s="140" t="s">
        <v>286</v>
      </c>
      <c r="G24" s="140" t="s">
        <v>403</v>
      </c>
      <c r="H24" s="140">
        <v>2</v>
      </c>
      <c r="I24"/>
      <c r="J24" s="137"/>
      <c r="K24" s="137"/>
      <c r="L24" s="142"/>
      <c r="M24" s="142"/>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31.2" customHeight="1">
      <c r="B25" s="140" t="s">
        <v>292</v>
      </c>
      <c r="C25" s="140" t="s">
        <v>404</v>
      </c>
      <c r="D25" s="140" t="s">
        <v>405</v>
      </c>
      <c r="E25" s="140" t="s">
        <v>405</v>
      </c>
      <c r="F25" s="140" t="s">
        <v>289</v>
      </c>
      <c r="G25" s="140" t="s">
        <v>406</v>
      </c>
      <c r="H25" s="140">
        <v>2</v>
      </c>
      <c r="I25"/>
      <c r="J25" s="137"/>
      <c r="K25" s="137"/>
      <c r="L25" s="142"/>
      <c r="M25" s="142"/>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31.2" customHeight="1">
      <c r="B26" s="140" t="s">
        <v>295</v>
      </c>
      <c r="C26" s="140" t="s">
        <v>407</v>
      </c>
      <c r="D26" s="140" t="s">
        <v>408</v>
      </c>
      <c r="E26" s="140" t="s">
        <v>408</v>
      </c>
      <c r="F26" s="140" t="s">
        <v>292</v>
      </c>
      <c r="G26" s="140" t="s">
        <v>409</v>
      </c>
      <c r="H26" s="140">
        <v>2</v>
      </c>
      <c r="I26"/>
      <c r="J26" s="137"/>
      <c r="K26" s="137"/>
      <c r="L26" s="142"/>
      <c r="M26" s="142"/>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ht="31.2" customHeight="1">
      <c r="B27" s="140" t="s">
        <v>313</v>
      </c>
      <c r="C27" s="140" t="s">
        <v>410</v>
      </c>
      <c r="D27" s="140" t="s">
        <v>411</v>
      </c>
      <c r="E27" s="140" t="s">
        <v>411</v>
      </c>
      <c r="F27" s="140" t="s">
        <v>295</v>
      </c>
      <c r="G27" s="140" t="s">
        <v>412</v>
      </c>
      <c r="H27" s="140">
        <v>2</v>
      </c>
      <c r="I27"/>
      <c r="J27" s="137"/>
      <c r="K27" s="137"/>
      <c r="L27" s="142"/>
      <c r="M27" s="142"/>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31.2" customHeight="1">
      <c r="B28" s="140" t="s">
        <v>318</v>
      </c>
      <c r="C28" s="140" t="s">
        <v>413</v>
      </c>
      <c r="D28" s="140" t="s">
        <v>414</v>
      </c>
      <c r="E28" s="140" t="s">
        <v>414</v>
      </c>
      <c r="F28" s="140" t="s">
        <v>281</v>
      </c>
      <c r="G28" s="140" t="s">
        <v>415</v>
      </c>
      <c r="H28" s="140">
        <v>2</v>
      </c>
      <c r="I28"/>
      <c r="J28" s="137"/>
      <c r="K28" s="137"/>
      <c r="L28" s="142"/>
      <c r="M28" s="142"/>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31.2" customHeight="1">
      <c r="B29" s="140" t="s">
        <v>321</v>
      </c>
      <c r="C29" s="140" t="s">
        <v>416</v>
      </c>
      <c r="D29" s="140" t="s">
        <v>417</v>
      </c>
      <c r="E29" s="140" t="s">
        <v>417</v>
      </c>
      <c r="F29" s="140" t="s">
        <v>289</v>
      </c>
      <c r="G29" s="140" t="s">
        <v>415</v>
      </c>
      <c r="H29" s="140">
        <v>2</v>
      </c>
      <c r="I29"/>
      <c r="J29" s="137"/>
      <c r="K29" s="137"/>
      <c r="L29" s="142"/>
      <c r="M29" s="142"/>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ht="31.2" customHeight="1">
      <c r="B30" s="140" t="s">
        <v>323</v>
      </c>
      <c r="C30" s="140" t="s">
        <v>418</v>
      </c>
      <c r="D30" s="140" t="s">
        <v>419</v>
      </c>
      <c r="E30" s="140" t="s">
        <v>419</v>
      </c>
      <c r="F30" s="140" t="s">
        <v>321</v>
      </c>
      <c r="G30" s="140" t="s">
        <v>420</v>
      </c>
      <c r="H30" s="140">
        <v>2</v>
      </c>
      <c r="I30"/>
      <c r="J30" s="137"/>
      <c r="K30" s="137"/>
      <c r="L30" s="142"/>
      <c r="M30" s="142"/>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ht="31.2" customHeight="1">
      <c r="B31" s="140" t="s">
        <v>326</v>
      </c>
      <c r="C31" s="140" t="s">
        <v>421</v>
      </c>
      <c r="D31" s="140" t="s">
        <v>422</v>
      </c>
      <c r="E31" s="140" t="s">
        <v>422</v>
      </c>
      <c r="F31" s="140" t="s">
        <v>323</v>
      </c>
      <c r="G31" s="140" t="s">
        <v>423</v>
      </c>
      <c r="H31" s="140">
        <v>2</v>
      </c>
      <c r="I31"/>
      <c r="J31" s="137"/>
      <c r="K31" s="137"/>
      <c r="L31" s="142"/>
      <c r="M31" s="142"/>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ht="31.2" customHeight="1">
      <c r="B32" s="140" t="s">
        <v>329</v>
      </c>
      <c r="C32" s="140" t="s">
        <v>424</v>
      </c>
      <c r="D32" s="140" t="s">
        <v>425</v>
      </c>
      <c r="E32" s="140" t="s">
        <v>425</v>
      </c>
      <c r="F32" s="140" t="s">
        <v>326</v>
      </c>
      <c r="G32" s="140" t="s">
        <v>415</v>
      </c>
      <c r="H32" s="140">
        <v>2</v>
      </c>
      <c r="I32"/>
      <c r="J32" s="137"/>
      <c r="K32" s="137"/>
      <c r="L32" s="142"/>
      <c r="M32" s="142"/>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ht="31.2" customHeight="1">
      <c r="B33" s="140" t="s">
        <v>331</v>
      </c>
      <c r="C33" s="140" t="s">
        <v>426</v>
      </c>
      <c r="D33" s="140" t="s">
        <v>427</v>
      </c>
      <c r="E33" s="140" t="s">
        <v>427</v>
      </c>
      <c r="F33" s="140" t="s">
        <v>329</v>
      </c>
      <c r="G33" s="140" t="s">
        <v>428</v>
      </c>
      <c r="H33" s="140">
        <v>2</v>
      </c>
      <c r="I33"/>
      <c r="J33" s="137"/>
      <c r="K33" s="137"/>
      <c r="L33" s="142"/>
      <c r="M33" s="142"/>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ht="31.2" customHeight="1">
      <c r="B34" s="140" t="s">
        <v>334</v>
      </c>
      <c r="C34" s="140" t="s">
        <v>429</v>
      </c>
      <c r="D34" s="140" t="s">
        <v>430</v>
      </c>
      <c r="E34" s="140" t="s">
        <v>430</v>
      </c>
      <c r="F34" s="140" t="s">
        <v>329</v>
      </c>
      <c r="G34" s="140" t="s">
        <v>431</v>
      </c>
      <c r="H34" s="140">
        <v>2</v>
      </c>
      <c r="I34"/>
      <c r="J34" s="137"/>
      <c r="K34" s="137"/>
      <c r="L34" s="142"/>
      <c r="M34" s="142"/>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ht="31.2" customHeight="1">
      <c r="B35" s="140" t="s">
        <v>337</v>
      </c>
      <c r="C35" s="140" t="s">
        <v>432</v>
      </c>
      <c r="D35" s="140" t="s">
        <v>433</v>
      </c>
      <c r="E35" s="140" t="s">
        <v>433</v>
      </c>
      <c r="F35" s="140" t="s">
        <v>334</v>
      </c>
      <c r="G35" s="140" t="s">
        <v>434</v>
      </c>
      <c r="H35" s="140">
        <v>2</v>
      </c>
      <c r="I35"/>
      <c r="J35" s="137"/>
      <c r="K35" s="137"/>
      <c r="L35" s="142"/>
      <c r="M35" s="142"/>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ht="31.2" customHeight="1">
      <c r="B36" s="140" t="s">
        <v>340</v>
      </c>
      <c r="C36" s="140" t="s">
        <v>435</v>
      </c>
      <c r="D36" s="140" t="s">
        <v>436</v>
      </c>
      <c r="E36" s="140" t="s">
        <v>436</v>
      </c>
      <c r="F36" s="140" t="s">
        <v>337</v>
      </c>
      <c r="G36" s="140" t="s">
        <v>437</v>
      </c>
      <c r="H36" s="140">
        <v>2</v>
      </c>
      <c r="I36"/>
      <c r="J36" s="137"/>
      <c r="K36" s="137"/>
      <c r="L36" s="142"/>
      <c r="M36" s="142"/>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51" firstPageNumber="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19E8C-15BB-4941-B7B6-110E03E9199E}">
  <sheetPr>
    <pageSetUpPr fitToPage="1"/>
  </sheetPr>
  <dimension ref="A1:BL45"/>
  <sheetViews>
    <sheetView showGridLines="0" zoomScale="80" zoomScaleNormal="80" workbookViewId="0">
      <selection activeCell="I16" sqref="I16"/>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842</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ht="26.4">
      <c r="B9" s="137" t="s">
        <v>343</v>
      </c>
      <c r="C9" s="137" t="s">
        <v>438</v>
      </c>
      <c r="D9" s="137" t="s">
        <v>439</v>
      </c>
      <c r="E9" s="137" t="s">
        <v>439</v>
      </c>
      <c r="F9" s="137" t="s">
        <v>340</v>
      </c>
      <c r="G9" s="137" t="s">
        <v>440</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ht="26.4">
      <c r="B10" s="137" t="s">
        <v>441</v>
      </c>
      <c r="C10" s="137" t="s">
        <v>442</v>
      </c>
      <c r="D10" s="137" t="s">
        <v>443</v>
      </c>
      <c r="E10" s="137" t="s">
        <v>443</v>
      </c>
      <c r="F10" s="137" t="s">
        <v>343</v>
      </c>
      <c r="G10" s="137" t="s">
        <v>431</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444</v>
      </c>
      <c r="C11" s="137" t="s">
        <v>445</v>
      </c>
      <c r="D11" s="137" t="s">
        <v>446</v>
      </c>
      <c r="E11" s="137" t="s">
        <v>446</v>
      </c>
      <c r="F11" s="137" t="s">
        <v>441</v>
      </c>
      <c r="G11" s="137" t="s">
        <v>353</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447</v>
      </c>
      <c r="C12" s="140" t="s">
        <v>448</v>
      </c>
      <c r="D12" s="140" t="s">
        <v>449</v>
      </c>
      <c r="E12" s="140" t="s">
        <v>449</v>
      </c>
      <c r="F12" s="140" t="s">
        <v>444</v>
      </c>
      <c r="G12" s="140" t="s">
        <v>353</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450</v>
      </c>
      <c r="C13" s="140" t="s">
        <v>407</v>
      </c>
      <c r="D13" s="140" t="s">
        <v>451</v>
      </c>
      <c r="E13" s="140" t="s">
        <v>451</v>
      </c>
      <c r="F13" s="140" t="s">
        <v>447</v>
      </c>
      <c r="G13" s="140" t="s">
        <v>409</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452</v>
      </c>
      <c r="C14" s="140" t="s">
        <v>453</v>
      </c>
      <c r="D14" s="140" t="s">
        <v>454</v>
      </c>
      <c r="E14" s="140" t="s">
        <v>454</v>
      </c>
      <c r="F14" s="140" t="s">
        <v>441</v>
      </c>
      <c r="G14" s="140" t="s">
        <v>434</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455</v>
      </c>
      <c r="C15" s="140" t="s">
        <v>456</v>
      </c>
      <c r="D15" s="140" t="s">
        <v>457</v>
      </c>
      <c r="E15" s="140" t="s">
        <v>457</v>
      </c>
      <c r="F15" s="140" t="s">
        <v>450</v>
      </c>
      <c r="G15" s="140" t="s">
        <v>415</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458</v>
      </c>
      <c r="C16" s="140" t="s">
        <v>459</v>
      </c>
      <c r="D16" s="140" t="s">
        <v>460</v>
      </c>
      <c r="E16" s="140" t="s">
        <v>460</v>
      </c>
      <c r="F16" s="140" t="s">
        <v>343</v>
      </c>
      <c r="G16" s="140" t="s">
        <v>276</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461</v>
      </c>
      <c r="C17" s="140" t="s">
        <v>462</v>
      </c>
      <c r="D17" s="140" t="s">
        <v>463</v>
      </c>
      <c r="E17" s="140" t="s">
        <v>463</v>
      </c>
      <c r="F17" s="140" t="s">
        <v>458</v>
      </c>
      <c r="G17" s="140" t="s">
        <v>361</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464</v>
      </c>
      <c r="C18" s="140" t="s">
        <v>465</v>
      </c>
      <c r="D18" s="140" t="s">
        <v>466</v>
      </c>
      <c r="E18" s="140" t="s">
        <v>466</v>
      </c>
      <c r="F18" s="140" t="s">
        <v>461</v>
      </c>
      <c r="G18" s="140" t="s">
        <v>285</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467</v>
      </c>
      <c r="C19" s="140" t="s">
        <v>468</v>
      </c>
      <c r="D19" s="140" t="s">
        <v>469</v>
      </c>
      <c r="E19" s="140" t="s">
        <v>469</v>
      </c>
      <c r="F19" s="140" t="s">
        <v>464</v>
      </c>
      <c r="G19" s="140" t="s">
        <v>285</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470</v>
      </c>
      <c r="C20" s="140" t="s">
        <v>471</v>
      </c>
      <c r="D20" s="140" t="s">
        <v>472</v>
      </c>
      <c r="E20" s="140" t="s">
        <v>472</v>
      </c>
      <c r="F20" s="140" t="s">
        <v>467</v>
      </c>
      <c r="G20" s="140" t="s">
        <v>285</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473</v>
      </c>
      <c r="C21" s="140" t="s">
        <v>474</v>
      </c>
      <c r="D21" s="140" t="s">
        <v>475</v>
      </c>
      <c r="E21" s="140" t="s">
        <v>475</v>
      </c>
      <c r="F21" s="140" t="s">
        <v>470</v>
      </c>
      <c r="G21" s="140" t="s">
        <v>285</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476</v>
      </c>
      <c r="C22" s="140" t="s">
        <v>477</v>
      </c>
      <c r="D22" s="140" t="s">
        <v>478</v>
      </c>
      <c r="E22" s="140" t="s">
        <v>478</v>
      </c>
      <c r="F22" s="140" t="s">
        <v>473</v>
      </c>
      <c r="G22" s="140" t="s">
        <v>415</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479</v>
      </c>
      <c r="C23" s="140" t="s">
        <v>480</v>
      </c>
      <c r="D23" s="140" t="s">
        <v>481</v>
      </c>
      <c r="E23" s="140" t="s">
        <v>481</v>
      </c>
      <c r="F23" s="140" t="s">
        <v>473</v>
      </c>
      <c r="G23" s="140" t="s">
        <v>361</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482</v>
      </c>
      <c r="C24" s="140" t="s">
        <v>483</v>
      </c>
      <c r="D24" s="140" t="s">
        <v>484</v>
      </c>
      <c r="E24" s="140" t="s">
        <v>484</v>
      </c>
      <c r="F24" s="140" t="s">
        <v>479</v>
      </c>
      <c r="G24" s="140" t="s">
        <v>350</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485</v>
      </c>
      <c r="C25" s="140" t="s">
        <v>486</v>
      </c>
      <c r="D25" s="140" t="s">
        <v>487</v>
      </c>
      <c r="E25" s="140" t="s">
        <v>487</v>
      </c>
      <c r="F25" s="140" t="s">
        <v>482</v>
      </c>
      <c r="G25" s="140" t="s">
        <v>350</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488</v>
      </c>
      <c r="C26" s="140" t="s">
        <v>489</v>
      </c>
      <c r="D26" s="140" t="s">
        <v>490</v>
      </c>
      <c r="E26" s="140" t="s">
        <v>490</v>
      </c>
      <c r="F26" s="140" t="s">
        <v>485</v>
      </c>
      <c r="G26" s="140" t="s">
        <v>350</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491</v>
      </c>
      <c r="C27" s="140" t="s">
        <v>492</v>
      </c>
      <c r="D27" s="140" t="s">
        <v>493</v>
      </c>
      <c r="E27" s="140" t="s">
        <v>493</v>
      </c>
      <c r="F27" s="140" t="s">
        <v>488</v>
      </c>
      <c r="G27" s="140" t="s">
        <v>350</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494</v>
      </c>
      <c r="C28" s="140" t="s">
        <v>495</v>
      </c>
      <c r="D28" s="140" t="s">
        <v>496</v>
      </c>
      <c r="E28" s="140" t="s">
        <v>496</v>
      </c>
      <c r="F28" s="140" t="s">
        <v>491</v>
      </c>
      <c r="G28" s="140" t="s">
        <v>409</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497</v>
      </c>
      <c r="C29" s="140" t="s">
        <v>498</v>
      </c>
      <c r="D29" s="140" t="s">
        <v>499</v>
      </c>
      <c r="E29" s="140" t="s">
        <v>499</v>
      </c>
      <c r="F29" s="140" t="s">
        <v>494</v>
      </c>
      <c r="G29" s="140" t="s">
        <v>415</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500</v>
      </c>
      <c r="C30" s="140" t="s">
        <v>501</v>
      </c>
      <c r="D30" s="140" t="s">
        <v>502</v>
      </c>
      <c r="E30" s="140" t="s">
        <v>502</v>
      </c>
      <c r="F30" s="140" t="s">
        <v>497</v>
      </c>
      <c r="G30" s="140" t="s">
        <v>350</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503</v>
      </c>
      <c r="C31" s="140" t="s">
        <v>504</v>
      </c>
      <c r="D31" s="140" t="s">
        <v>505</v>
      </c>
      <c r="E31" s="140" t="s">
        <v>505</v>
      </c>
      <c r="F31" s="140" t="s">
        <v>500</v>
      </c>
      <c r="G31" s="140" t="s">
        <v>506</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507</v>
      </c>
      <c r="C32" s="140" t="s">
        <v>383</v>
      </c>
      <c r="D32" s="140" t="s">
        <v>508</v>
      </c>
      <c r="E32" s="140" t="s">
        <v>508</v>
      </c>
      <c r="F32" s="140" t="s">
        <v>500</v>
      </c>
      <c r="G32" s="140" t="s">
        <v>350</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509</v>
      </c>
      <c r="C33" s="140" t="s">
        <v>510</v>
      </c>
      <c r="D33" s="140" t="s">
        <v>511</v>
      </c>
      <c r="E33" s="140" t="s">
        <v>511</v>
      </c>
      <c r="F33" s="140" t="s">
        <v>507</v>
      </c>
      <c r="G33" s="140" t="s">
        <v>409</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512</v>
      </c>
      <c r="C34" s="140" t="s">
        <v>513</v>
      </c>
      <c r="D34" s="140" t="s">
        <v>514</v>
      </c>
      <c r="E34" s="140" t="s">
        <v>514</v>
      </c>
      <c r="F34" s="140" t="s">
        <v>509</v>
      </c>
      <c r="G34" s="140" t="s">
        <v>515</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0" t="s">
        <v>516</v>
      </c>
      <c r="C35" s="140" t="s">
        <v>517</v>
      </c>
      <c r="D35" s="140" t="s">
        <v>518</v>
      </c>
      <c r="E35" s="140" t="s">
        <v>518</v>
      </c>
      <c r="F35" s="140" t="s">
        <v>512</v>
      </c>
      <c r="G35" s="140" t="s">
        <v>415</v>
      </c>
      <c r="H35" s="140">
        <v>2</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0" t="s">
        <v>519</v>
      </c>
      <c r="C36" s="140" t="s">
        <v>520</v>
      </c>
      <c r="D36" s="140" t="s">
        <v>521</v>
      </c>
      <c r="E36" s="140" t="s">
        <v>521</v>
      </c>
      <c r="F36" s="140" t="s">
        <v>516</v>
      </c>
      <c r="G36" s="140" t="s">
        <v>437</v>
      </c>
      <c r="H36" s="140">
        <v>2</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B8B3-9CAE-4B1E-A1D6-4764520B1126}">
  <sheetPr>
    <pageSetUpPr fitToPage="1"/>
  </sheetPr>
  <dimension ref="A1:BL45"/>
  <sheetViews>
    <sheetView showGridLines="0" zoomScale="80" zoomScaleNormal="80" workbookViewId="0">
      <selection activeCell="P5" sqref="P5"/>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843</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ht="26.4">
      <c r="B9" s="137" t="s">
        <v>522</v>
      </c>
      <c r="C9" s="137" t="s">
        <v>523</v>
      </c>
      <c r="D9" s="137" t="s">
        <v>524</v>
      </c>
      <c r="E9" s="137" t="s">
        <v>524</v>
      </c>
      <c r="F9" s="137" t="s">
        <v>519</v>
      </c>
      <c r="G9" s="137" t="s">
        <v>302</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ht="26.4">
      <c r="B10" s="137" t="s">
        <v>525</v>
      </c>
      <c r="C10" s="137" t="s">
        <v>526</v>
      </c>
      <c r="D10" s="137" t="s">
        <v>527</v>
      </c>
      <c r="E10" s="137" t="s">
        <v>527</v>
      </c>
      <c r="F10" s="137" t="s">
        <v>522</v>
      </c>
      <c r="G10" s="137" t="s">
        <v>302</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528</v>
      </c>
      <c r="C11" s="137" t="s">
        <v>529</v>
      </c>
      <c r="D11" s="137" t="s">
        <v>530</v>
      </c>
      <c r="E11" s="137" t="s">
        <v>530</v>
      </c>
      <c r="F11" s="137" t="s">
        <v>525</v>
      </c>
      <c r="G11" s="137" t="s">
        <v>531</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532</v>
      </c>
      <c r="C12" s="140" t="s">
        <v>533</v>
      </c>
      <c r="D12" s="140" t="s">
        <v>534</v>
      </c>
      <c r="E12" s="140" t="s">
        <v>534</v>
      </c>
      <c r="F12" s="140" t="s">
        <v>528</v>
      </c>
      <c r="G12" s="140" t="s">
        <v>302</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535</v>
      </c>
      <c r="C13" s="140" t="s">
        <v>536</v>
      </c>
      <c r="D13" s="140" t="s">
        <v>537</v>
      </c>
      <c r="E13" s="140" t="s">
        <v>537</v>
      </c>
      <c r="F13" s="140" t="s">
        <v>532</v>
      </c>
      <c r="G13" s="140" t="s">
        <v>302</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538</v>
      </c>
      <c r="C14" s="140" t="s">
        <v>539</v>
      </c>
      <c r="D14" s="140" t="s">
        <v>540</v>
      </c>
      <c r="E14" s="140" t="s">
        <v>540</v>
      </c>
      <c r="F14" s="140" t="s">
        <v>535</v>
      </c>
      <c r="G14" s="140" t="s">
        <v>409</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541</v>
      </c>
      <c r="C15" s="140" t="s">
        <v>542</v>
      </c>
      <c r="D15" s="140" t="s">
        <v>543</v>
      </c>
      <c r="E15" s="140" t="s">
        <v>543</v>
      </c>
      <c r="F15" s="140" t="s">
        <v>538</v>
      </c>
      <c r="G15" s="140" t="s">
        <v>415</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544</v>
      </c>
      <c r="C16" s="140" t="s">
        <v>545</v>
      </c>
      <c r="D16" s="140" t="s">
        <v>546</v>
      </c>
      <c r="E16" s="140" t="s">
        <v>546</v>
      </c>
      <c r="F16" s="140" t="s">
        <v>535</v>
      </c>
      <c r="G16" s="140" t="s">
        <v>302</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547</v>
      </c>
      <c r="C17" s="140" t="s">
        <v>548</v>
      </c>
      <c r="D17" s="140" t="s">
        <v>549</v>
      </c>
      <c r="E17" s="140" t="s">
        <v>549</v>
      </c>
      <c r="F17" s="140" t="s">
        <v>544</v>
      </c>
      <c r="G17" s="140" t="s">
        <v>302</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550</v>
      </c>
      <c r="C18" s="140" t="s">
        <v>551</v>
      </c>
      <c r="D18" s="140" t="s">
        <v>552</v>
      </c>
      <c r="E18" s="140" t="s">
        <v>552</v>
      </c>
      <c r="F18" s="140" t="s">
        <v>547</v>
      </c>
      <c r="G18" s="140" t="s">
        <v>553</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554</v>
      </c>
      <c r="C19" s="140" t="s">
        <v>555</v>
      </c>
      <c r="D19" s="140" t="s">
        <v>556</v>
      </c>
      <c r="E19" s="140" t="s">
        <v>556</v>
      </c>
      <c r="F19" s="140" t="s">
        <v>550</v>
      </c>
      <c r="G19" s="140" t="s">
        <v>308</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557</v>
      </c>
      <c r="C20" s="140" t="s">
        <v>558</v>
      </c>
      <c r="D20" s="140" t="s">
        <v>559</v>
      </c>
      <c r="E20" s="140" t="s">
        <v>559</v>
      </c>
      <c r="F20" s="140" t="s">
        <v>554</v>
      </c>
      <c r="G20" s="140" t="s">
        <v>308</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560</v>
      </c>
      <c r="C21" s="140" t="s">
        <v>194</v>
      </c>
      <c r="D21" s="140" t="s">
        <v>561</v>
      </c>
      <c r="E21" s="140" t="s">
        <v>561</v>
      </c>
      <c r="F21" s="140" t="s">
        <v>557</v>
      </c>
      <c r="G21" s="140" t="s">
        <v>409</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562</v>
      </c>
      <c r="C22" s="140" t="s">
        <v>563</v>
      </c>
      <c r="D22" s="140" t="s">
        <v>564</v>
      </c>
      <c r="E22" s="140" t="s">
        <v>564</v>
      </c>
      <c r="F22" s="140" t="s">
        <v>560</v>
      </c>
      <c r="G22" s="140" t="s">
        <v>415</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565</v>
      </c>
      <c r="C23" s="140" t="s">
        <v>566</v>
      </c>
      <c r="D23" s="140" t="s">
        <v>567</v>
      </c>
      <c r="E23" s="140" t="s">
        <v>567</v>
      </c>
      <c r="F23" s="140" t="s">
        <v>557</v>
      </c>
      <c r="G23" s="140" t="s">
        <v>506</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568</v>
      </c>
      <c r="C24" s="140" t="s">
        <v>569</v>
      </c>
      <c r="D24" s="140" t="s">
        <v>570</v>
      </c>
      <c r="E24" s="140" t="s">
        <v>570</v>
      </c>
      <c r="F24" s="140" t="s">
        <v>565</v>
      </c>
      <c r="G24" s="140" t="s">
        <v>350</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571</v>
      </c>
      <c r="C25" s="140" t="s">
        <v>572</v>
      </c>
      <c r="D25" s="140" t="s">
        <v>573</v>
      </c>
      <c r="E25" s="140" t="s">
        <v>573</v>
      </c>
      <c r="F25" s="140" t="s">
        <v>568</v>
      </c>
      <c r="G25" s="140" t="s">
        <v>574</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575</v>
      </c>
      <c r="C26" s="140" t="s">
        <v>576</v>
      </c>
      <c r="D26" s="140" t="s">
        <v>577</v>
      </c>
      <c r="E26" s="140" t="s">
        <v>577</v>
      </c>
      <c r="F26" s="140" t="s">
        <v>568</v>
      </c>
      <c r="G26" s="140" t="s">
        <v>409</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578</v>
      </c>
      <c r="C27" s="140" t="s">
        <v>542</v>
      </c>
      <c r="D27" s="140" t="s">
        <v>579</v>
      </c>
      <c r="E27" s="140" t="s">
        <v>579</v>
      </c>
      <c r="F27" s="140" t="s">
        <v>575</v>
      </c>
      <c r="G27" s="140" t="s">
        <v>415</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580</v>
      </c>
      <c r="C28" s="140" t="s">
        <v>581</v>
      </c>
      <c r="D28" s="140" t="s">
        <v>582</v>
      </c>
      <c r="E28" s="140" t="s">
        <v>582</v>
      </c>
      <c r="F28" s="140" t="s">
        <v>578</v>
      </c>
      <c r="G28" s="140" t="s">
        <v>515</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583</v>
      </c>
      <c r="C29" s="140" t="s">
        <v>520</v>
      </c>
      <c r="D29" s="140" t="s">
        <v>584</v>
      </c>
      <c r="E29" s="140" t="s">
        <v>584</v>
      </c>
      <c r="F29" s="140" t="s">
        <v>580</v>
      </c>
      <c r="G29" s="140" t="s">
        <v>437</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585</v>
      </c>
      <c r="C30" s="140" t="s">
        <v>586</v>
      </c>
      <c r="D30" s="140" t="s">
        <v>587</v>
      </c>
      <c r="E30" s="140" t="s">
        <v>587</v>
      </c>
      <c r="F30" s="140" t="s">
        <v>580</v>
      </c>
      <c r="G30" s="140" t="s">
        <v>226</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588</v>
      </c>
      <c r="C31" s="140" t="s">
        <v>589</v>
      </c>
      <c r="D31" s="140" t="s">
        <v>590</v>
      </c>
      <c r="E31" s="140" t="s">
        <v>590</v>
      </c>
      <c r="F31" s="140" t="s">
        <v>585</v>
      </c>
      <c r="G31" s="140" t="s">
        <v>591</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592</v>
      </c>
      <c r="C32" s="140" t="s">
        <v>593</v>
      </c>
      <c r="D32" s="140" t="s">
        <v>594</v>
      </c>
      <c r="E32" s="140" t="s">
        <v>594</v>
      </c>
      <c r="F32" s="140" t="s">
        <v>588</v>
      </c>
      <c r="G32" s="140" t="s">
        <v>415</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595</v>
      </c>
      <c r="C33" s="140" t="s">
        <v>596</v>
      </c>
      <c r="D33" s="140" t="s">
        <v>597</v>
      </c>
      <c r="E33" s="140" t="s">
        <v>597</v>
      </c>
      <c r="F33" s="140" t="s">
        <v>592</v>
      </c>
      <c r="G33" s="140" t="s">
        <v>598</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599</v>
      </c>
      <c r="C34" s="140" t="s">
        <v>600</v>
      </c>
      <c r="D34" s="140" t="s">
        <v>601</v>
      </c>
      <c r="E34" s="140" t="s">
        <v>601</v>
      </c>
      <c r="F34" s="140" t="s">
        <v>595</v>
      </c>
      <c r="G34" s="140" t="s">
        <v>602</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0" t="s">
        <v>603</v>
      </c>
      <c r="C35" s="140" t="s">
        <v>520</v>
      </c>
      <c r="D35" s="140" t="s">
        <v>604</v>
      </c>
      <c r="E35" s="140" t="s">
        <v>604</v>
      </c>
      <c r="F35" s="140" t="s">
        <v>599</v>
      </c>
      <c r="G35" s="140" t="s">
        <v>437</v>
      </c>
      <c r="H35" s="140">
        <v>2</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0" t="s">
        <v>605</v>
      </c>
      <c r="C36" s="140" t="s">
        <v>606</v>
      </c>
      <c r="D36" s="140" t="s">
        <v>607</v>
      </c>
      <c r="E36" s="140" t="s">
        <v>607</v>
      </c>
      <c r="F36" s="140" t="s">
        <v>603</v>
      </c>
      <c r="G36" s="140" t="s">
        <v>267</v>
      </c>
      <c r="H36" s="140">
        <v>2</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0ACEA-4953-4970-B0F1-F15C209AA00E}">
  <sheetPr>
    <pageSetUpPr fitToPage="1"/>
  </sheetPr>
  <dimension ref="A1:BL45"/>
  <sheetViews>
    <sheetView showGridLines="0" zoomScale="80" zoomScaleNormal="80" workbookViewId="0">
      <selection activeCell="N3" sqref="N3:O3"/>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844</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c r="B9" s="137" t="s">
        <v>608</v>
      </c>
      <c r="C9" s="137" t="s">
        <v>609</v>
      </c>
      <c r="D9" s="137" t="s">
        <v>610</v>
      </c>
      <c r="E9" s="137" t="s">
        <v>610</v>
      </c>
      <c r="F9" s="137" t="s">
        <v>605</v>
      </c>
      <c r="G9" s="137" t="s">
        <v>285</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c r="B10" s="137" t="s">
        <v>611</v>
      </c>
      <c r="C10" s="137" t="s">
        <v>612</v>
      </c>
      <c r="D10" s="137" t="s">
        <v>613</v>
      </c>
      <c r="E10" s="137" t="s">
        <v>613</v>
      </c>
      <c r="F10" s="137" t="s">
        <v>608</v>
      </c>
      <c r="G10" s="137" t="s">
        <v>285</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614</v>
      </c>
      <c r="C11" s="137" t="s">
        <v>615</v>
      </c>
      <c r="D11" s="137" t="s">
        <v>616</v>
      </c>
      <c r="E11" s="137" t="s">
        <v>616</v>
      </c>
      <c r="F11" s="137" t="s">
        <v>611</v>
      </c>
      <c r="G11" s="137" t="s">
        <v>350</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617</v>
      </c>
      <c r="C12" s="140" t="s">
        <v>618</v>
      </c>
      <c r="D12" s="140" t="s">
        <v>619</v>
      </c>
      <c r="E12" s="140" t="s">
        <v>619</v>
      </c>
      <c r="F12" s="140" t="s">
        <v>614</v>
      </c>
      <c r="G12" s="140" t="s">
        <v>350</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620</v>
      </c>
      <c r="C13" s="140" t="s">
        <v>621</v>
      </c>
      <c r="D13" s="140" t="s">
        <v>622</v>
      </c>
      <c r="E13" s="140" t="s">
        <v>622</v>
      </c>
      <c r="F13" s="140" t="s">
        <v>617</v>
      </c>
      <c r="G13" s="140" t="s">
        <v>409</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623</v>
      </c>
      <c r="C14" s="140" t="s">
        <v>624</v>
      </c>
      <c r="D14" s="140" t="s">
        <v>625</v>
      </c>
      <c r="E14" s="140" t="s">
        <v>625</v>
      </c>
      <c r="F14" s="140" t="s">
        <v>620</v>
      </c>
      <c r="G14" s="140" t="s">
        <v>415</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626</v>
      </c>
      <c r="C15" s="140" t="s">
        <v>520</v>
      </c>
      <c r="D15" s="140" t="s">
        <v>627</v>
      </c>
      <c r="E15" s="140" t="s">
        <v>627</v>
      </c>
      <c r="F15" s="140" t="s">
        <v>623</v>
      </c>
      <c r="G15" s="140" t="s">
        <v>437</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628</v>
      </c>
      <c r="C16" s="140" t="s">
        <v>629</v>
      </c>
      <c r="D16" s="140" t="s">
        <v>630</v>
      </c>
      <c r="E16" s="140" t="s">
        <v>630</v>
      </c>
      <c r="F16" s="140" t="s">
        <v>620</v>
      </c>
      <c r="G16" s="140" t="s">
        <v>631</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632</v>
      </c>
      <c r="C17" s="140" t="s">
        <v>633</v>
      </c>
      <c r="D17" s="140" t="s">
        <v>634</v>
      </c>
      <c r="E17" s="140" t="s">
        <v>634</v>
      </c>
      <c r="F17" s="140" t="s">
        <v>628</v>
      </c>
      <c r="G17" s="140" t="s">
        <v>635</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636</v>
      </c>
      <c r="C18" s="140" t="s">
        <v>637</v>
      </c>
      <c r="D18" s="140" t="s">
        <v>638</v>
      </c>
      <c r="E18" s="140" t="s">
        <v>638</v>
      </c>
      <c r="F18" s="140" t="s">
        <v>632</v>
      </c>
      <c r="G18" s="140" t="s">
        <v>409</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639</v>
      </c>
      <c r="C19" s="140" t="s">
        <v>640</v>
      </c>
      <c r="D19" s="140" t="s">
        <v>641</v>
      </c>
      <c r="E19" s="140" t="s">
        <v>641</v>
      </c>
      <c r="F19" s="140" t="s">
        <v>636</v>
      </c>
      <c r="G19" s="140" t="s">
        <v>642</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643</v>
      </c>
      <c r="C20" s="140" t="s">
        <v>644</v>
      </c>
      <c r="D20" s="140" t="s">
        <v>645</v>
      </c>
      <c r="E20" s="140" t="s">
        <v>645</v>
      </c>
      <c r="F20" s="140" t="s">
        <v>639</v>
      </c>
      <c r="G20" s="140" t="s">
        <v>415</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646</v>
      </c>
      <c r="C21" s="140" t="s">
        <v>647</v>
      </c>
      <c r="D21" s="140" t="s">
        <v>648</v>
      </c>
      <c r="E21" s="140" t="s">
        <v>648</v>
      </c>
      <c r="F21" s="140" t="s">
        <v>643</v>
      </c>
      <c r="G21" s="140" t="s">
        <v>515</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649</v>
      </c>
      <c r="C22" s="140" t="s">
        <v>520</v>
      </c>
      <c r="D22" s="140" t="s">
        <v>650</v>
      </c>
      <c r="E22" s="140" t="s">
        <v>650</v>
      </c>
      <c r="F22" s="140" t="s">
        <v>646</v>
      </c>
      <c r="G22" s="140" t="s">
        <v>267</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651</v>
      </c>
      <c r="C23" s="140" t="s">
        <v>652</v>
      </c>
      <c r="D23" s="140" t="s">
        <v>653</v>
      </c>
      <c r="E23" s="140" t="s">
        <v>653</v>
      </c>
      <c r="F23" s="140" t="s">
        <v>617</v>
      </c>
      <c r="G23" s="140" t="s">
        <v>350</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654</v>
      </c>
      <c r="C24" s="140" t="s">
        <v>655</v>
      </c>
      <c r="D24" s="140" t="s">
        <v>656</v>
      </c>
      <c r="E24" s="140" t="s">
        <v>656</v>
      </c>
      <c r="F24" s="140" t="s">
        <v>651</v>
      </c>
      <c r="G24" s="140" t="s">
        <v>350</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657</v>
      </c>
      <c r="C25" s="140" t="s">
        <v>152</v>
      </c>
      <c r="D25" s="140" t="s">
        <v>658</v>
      </c>
      <c r="E25" s="140" t="s">
        <v>658</v>
      </c>
      <c r="F25" s="140" t="s">
        <v>654</v>
      </c>
      <c r="G25" s="140" t="s">
        <v>409</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659</v>
      </c>
      <c r="C26" s="140" t="s">
        <v>640</v>
      </c>
      <c r="D26" s="140" t="s">
        <v>660</v>
      </c>
      <c r="E26" s="140" t="s">
        <v>660</v>
      </c>
      <c r="F26" s="140" t="s">
        <v>657</v>
      </c>
      <c r="G26" s="140" t="s">
        <v>642</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661</v>
      </c>
      <c r="C27" s="140" t="s">
        <v>644</v>
      </c>
      <c r="D27" s="140" t="s">
        <v>662</v>
      </c>
      <c r="E27" s="140" t="s">
        <v>662</v>
      </c>
      <c r="F27" s="140" t="s">
        <v>659</v>
      </c>
      <c r="G27" s="140" t="s">
        <v>415</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663</v>
      </c>
      <c r="C28" s="140" t="s">
        <v>664</v>
      </c>
      <c r="D28" s="140" t="s">
        <v>665</v>
      </c>
      <c r="E28" s="140" t="s">
        <v>665</v>
      </c>
      <c r="F28" s="140" t="s">
        <v>661</v>
      </c>
      <c r="G28" s="140" t="s">
        <v>226</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666</v>
      </c>
      <c r="C29" s="140" t="s">
        <v>520</v>
      </c>
      <c r="D29" s="140" t="s">
        <v>667</v>
      </c>
      <c r="E29" s="140" t="s">
        <v>667</v>
      </c>
      <c r="F29" s="140" t="s">
        <v>663</v>
      </c>
      <c r="G29" s="140" t="s">
        <v>267</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668</v>
      </c>
      <c r="C30" s="140" t="s">
        <v>669</v>
      </c>
      <c r="D30" s="140" t="s">
        <v>670</v>
      </c>
      <c r="E30" s="140" t="s">
        <v>670</v>
      </c>
      <c r="F30" s="140" t="s">
        <v>663</v>
      </c>
      <c r="G30" s="140" t="s">
        <v>298</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671</v>
      </c>
      <c r="C31" s="140" t="s">
        <v>672</v>
      </c>
      <c r="D31" s="140" t="s">
        <v>673</v>
      </c>
      <c r="E31" s="140" t="s">
        <v>673</v>
      </c>
      <c r="F31" s="140" t="s">
        <v>668</v>
      </c>
      <c r="G31" s="140" t="s">
        <v>674</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675</v>
      </c>
      <c r="C32" s="140" t="s">
        <v>591</v>
      </c>
      <c r="D32" s="140" t="s">
        <v>676</v>
      </c>
      <c r="E32" s="140" t="s">
        <v>676</v>
      </c>
      <c r="F32" s="140" t="s">
        <v>671</v>
      </c>
      <c r="G32" s="140" t="s">
        <v>591</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677</v>
      </c>
      <c r="C33" s="140" t="s">
        <v>678</v>
      </c>
      <c r="D33" s="140" t="s">
        <v>679</v>
      </c>
      <c r="E33" s="140" t="s">
        <v>679</v>
      </c>
      <c r="F33" s="140" t="s">
        <v>675</v>
      </c>
      <c r="G33" s="140" t="s">
        <v>415</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680</v>
      </c>
      <c r="C34" s="140" t="s">
        <v>681</v>
      </c>
      <c r="D34" s="140" t="s">
        <v>682</v>
      </c>
      <c r="E34" s="140" t="s">
        <v>682</v>
      </c>
      <c r="F34" s="140" t="s">
        <v>677</v>
      </c>
      <c r="G34" s="140" t="s">
        <v>683</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0" t="s">
        <v>684</v>
      </c>
      <c r="C35" s="140" t="s">
        <v>520</v>
      </c>
      <c r="D35" s="140" t="s">
        <v>685</v>
      </c>
      <c r="E35" s="140" t="s">
        <v>685</v>
      </c>
      <c r="F35" s="140" t="s">
        <v>680</v>
      </c>
      <c r="G35" s="140" t="s">
        <v>267</v>
      </c>
      <c r="H35" s="140">
        <v>2</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0" t="s">
        <v>686</v>
      </c>
      <c r="C36" s="140" t="s">
        <v>606</v>
      </c>
      <c r="D36" s="140" t="s">
        <v>687</v>
      </c>
      <c r="E36" s="140" t="s">
        <v>687</v>
      </c>
      <c r="F36" s="140" t="s">
        <v>684</v>
      </c>
      <c r="G36" s="140" t="s">
        <v>267</v>
      </c>
      <c r="H36" s="140">
        <v>2</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194C-BF53-42FD-8AC9-DA3811F96894}">
  <sheetPr>
    <pageSetUpPr fitToPage="1"/>
  </sheetPr>
  <dimension ref="A1:BL45"/>
  <sheetViews>
    <sheetView showGridLines="0" zoomScale="80" zoomScaleNormal="80" workbookViewId="0">
      <selection activeCell="O3" sqref="O3"/>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845</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c r="B9" s="137" t="s">
        <v>688</v>
      </c>
      <c r="C9" s="137" t="s">
        <v>314</v>
      </c>
      <c r="D9" s="137" t="s">
        <v>689</v>
      </c>
      <c r="E9" s="137" t="s">
        <v>689</v>
      </c>
      <c r="F9" s="137" t="s">
        <v>686</v>
      </c>
      <c r="G9" s="137" t="s">
        <v>317</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c r="B10" s="137" t="s">
        <v>690</v>
      </c>
      <c r="C10" s="137" t="s">
        <v>691</v>
      </c>
      <c r="D10" s="137" t="s">
        <v>692</v>
      </c>
      <c r="E10" s="137" t="s">
        <v>692</v>
      </c>
      <c r="F10" s="137" t="s">
        <v>688</v>
      </c>
      <c r="G10" s="137" t="s">
        <v>317</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693</v>
      </c>
      <c r="C11" s="137" t="s">
        <v>694</v>
      </c>
      <c r="D11" s="137" t="s">
        <v>695</v>
      </c>
      <c r="E11" s="137" t="s">
        <v>695</v>
      </c>
      <c r="F11" s="137" t="s">
        <v>690</v>
      </c>
      <c r="G11" s="137" t="s">
        <v>696</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697</v>
      </c>
      <c r="C12" s="140" t="s">
        <v>152</v>
      </c>
      <c r="D12" s="140" t="s">
        <v>698</v>
      </c>
      <c r="E12" s="140" t="s">
        <v>698</v>
      </c>
      <c r="F12" s="140" t="s">
        <v>693</v>
      </c>
      <c r="G12" s="140" t="s">
        <v>699</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700</v>
      </c>
      <c r="C13" s="140" t="s">
        <v>701</v>
      </c>
      <c r="D13" s="140" t="s">
        <v>702</v>
      </c>
      <c r="E13" s="140" t="s">
        <v>702</v>
      </c>
      <c r="F13" s="140" t="s">
        <v>693</v>
      </c>
      <c r="G13" s="140" t="s">
        <v>317</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703</v>
      </c>
      <c r="C14" s="140" t="s">
        <v>704</v>
      </c>
      <c r="D14" s="140" t="s">
        <v>705</v>
      </c>
      <c r="E14" s="140" t="s">
        <v>705</v>
      </c>
      <c r="F14" s="140" t="s">
        <v>700</v>
      </c>
      <c r="G14" s="140" t="s">
        <v>317</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706</v>
      </c>
      <c r="C15" s="140" t="s">
        <v>520</v>
      </c>
      <c r="D15" s="140" t="s">
        <v>707</v>
      </c>
      <c r="E15" s="140" t="s">
        <v>707</v>
      </c>
      <c r="F15" s="140" t="s">
        <v>703</v>
      </c>
      <c r="G15" s="140" t="s">
        <v>267</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708</v>
      </c>
      <c r="C16" s="140" t="s">
        <v>709</v>
      </c>
      <c r="D16" s="140" t="s">
        <v>710</v>
      </c>
      <c r="E16" s="140" t="s">
        <v>710</v>
      </c>
      <c r="F16" s="140" t="s">
        <v>703</v>
      </c>
      <c r="G16" s="140" t="s">
        <v>317</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711</v>
      </c>
      <c r="C17" s="140" t="s">
        <v>712</v>
      </c>
      <c r="D17" s="140" t="s">
        <v>713</v>
      </c>
      <c r="E17" s="140" t="s">
        <v>713</v>
      </c>
      <c r="F17" s="140" t="s">
        <v>708</v>
      </c>
      <c r="G17" s="140" t="s">
        <v>317</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714</v>
      </c>
      <c r="C18" s="140" t="s">
        <v>715</v>
      </c>
      <c r="D18" s="140" t="s">
        <v>716</v>
      </c>
      <c r="E18" s="140" t="s">
        <v>716</v>
      </c>
      <c r="F18" s="140" t="s">
        <v>711</v>
      </c>
      <c r="G18" s="140" t="s">
        <v>317</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717</v>
      </c>
      <c r="C19" s="140" t="s">
        <v>718</v>
      </c>
      <c r="D19" s="140" t="s">
        <v>719</v>
      </c>
      <c r="E19" s="140" t="s">
        <v>719</v>
      </c>
      <c r="F19" s="140" t="s">
        <v>714</v>
      </c>
      <c r="G19" s="140" t="s">
        <v>317</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720</v>
      </c>
      <c r="C20" s="140" t="s">
        <v>175</v>
      </c>
      <c r="D20" s="140" t="s">
        <v>721</v>
      </c>
      <c r="E20" s="140" t="s">
        <v>721</v>
      </c>
      <c r="F20" s="140" t="s">
        <v>717</v>
      </c>
      <c r="G20" s="140" t="s">
        <v>722</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723</v>
      </c>
      <c r="C21" s="140" t="s">
        <v>724</v>
      </c>
      <c r="D21" s="140" t="s">
        <v>725</v>
      </c>
      <c r="E21" s="140" t="s">
        <v>725</v>
      </c>
      <c r="F21" s="140" t="s">
        <v>720</v>
      </c>
      <c r="G21" s="140" t="s">
        <v>415</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726</v>
      </c>
      <c r="C22" s="140" t="s">
        <v>520</v>
      </c>
      <c r="D22" s="140" t="s">
        <v>727</v>
      </c>
      <c r="E22" s="140" t="s">
        <v>727</v>
      </c>
      <c r="F22" s="140" t="s">
        <v>723</v>
      </c>
      <c r="G22" s="140" t="s">
        <v>267</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728</v>
      </c>
      <c r="C23" s="140" t="s">
        <v>729</v>
      </c>
      <c r="D23" s="140" t="s">
        <v>730</v>
      </c>
      <c r="E23" s="140" t="s">
        <v>730</v>
      </c>
      <c r="F23" s="140" t="s">
        <v>717</v>
      </c>
      <c r="G23" s="140" t="s">
        <v>317</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731</v>
      </c>
      <c r="C24" s="140" t="s">
        <v>732</v>
      </c>
      <c r="D24" s="140" t="s">
        <v>733</v>
      </c>
      <c r="E24" s="140" t="s">
        <v>733</v>
      </c>
      <c r="F24" s="140" t="s">
        <v>728</v>
      </c>
      <c r="G24" s="140" t="s">
        <v>734</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735</v>
      </c>
      <c r="C25" s="140" t="s">
        <v>736</v>
      </c>
      <c r="D25" s="140" t="s">
        <v>737</v>
      </c>
      <c r="E25" s="140" t="s">
        <v>737</v>
      </c>
      <c r="F25" s="140" t="s">
        <v>728</v>
      </c>
      <c r="G25" s="140" t="s">
        <v>317</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738</v>
      </c>
      <c r="C26" s="140" t="s">
        <v>739</v>
      </c>
      <c r="D26" s="140" t="s">
        <v>740</v>
      </c>
      <c r="E26" s="140" t="s">
        <v>740</v>
      </c>
      <c r="F26" s="140" t="s">
        <v>735</v>
      </c>
      <c r="G26" s="140" t="s">
        <v>317</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741</v>
      </c>
      <c r="C27" s="140" t="s">
        <v>742</v>
      </c>
      <c r="D27" s="140" t="s">
        <v>743</v>
      </c>
      <c r="E27" s="140" t="s">
        <v>743</v>
      </c>
      <c r="F27" s="140" t="s">
        <v>738</v>
      </c>
      <c r="G27" s="140" t="s">
        <v>744</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745</v>
      </c>
      <c r="C28" s="140" t="s">
        <v>644</v>
      </c>
      <c r="D28" s="140" t="s">
        <v>746</v>
      </c>
      <c r="E28" s="140" t="s">
        <v>746</v>
      </c>
      <c r="F28" s="140" t="s">
        <v>741</v>
      </c>
      <c r="G28" s="140" t="s">
        <v>415</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747</v>
      </c>
      <c r="C29" s="140" t="s">
        <v>520</v>
      </c>
      <c r="D29" s="140" t="s">
        <v>748</v>
      </c>
      <c r="E29" s="140" t="s">
        <v>748</v>
      </c>
      <c r="F29" s="140" t="s">
        <v>745</v>
      </c>
      <c r="G29" s="140" t="s">
        <v>267</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749</v>
      </c>
      <c r="C30" s="140" t="s">
        <v>182</v>
      </c>
      <c r="D30" s="140" t="s">
        <v>750</v>
      </c>
      <c r="E30" s="140" t="s">
        <v>750</v>
      </c>
      <c r="F30" s="140" t="s">
        <v>741</v>
      </c>
      <c r="G30" s="140" t="s">
        <v>330</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751</v>
      </c>
      <c r="C31" s="140" t="s">
        <v>752</v>
      </c>
      <c r="D31" s="140" t="s">
        <v>753</v>
      </c>
      <c r="E31" s="140" t="s">
        <v>753</v>
      </c>
      <c r="F31" s="140" t="s">
        <v>749</v>
      </c>
      <c r="G31" s="140" t="s">
        <v>330</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754</v>
      </c>
      <c r="C32" s="140" t="s">
        <v>755</v>
      </c>
      <c r="D32" s="140" t="s">
        <v>756</v>
      </c>
      <c r="E32" s="140" t="s">
        <v>756</v>
      </c>
      <c r="F32" s="140" t="s">
        <v>751</v>
      </c>
      <c r="G32" s="140" t="s">
        <v>330</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757</v>
      </c>
      <c r="C33" s="140" t="s">
        <v>184</v>
      </c>
      <c r="D33" s="140" t="s">
        <v>758</v>
      </c>
      <c r="E33" s="140" t="s">
        <v>758</v>
      </c>
      <c r="F33" s="140" t="s">
        <v>754</v>
      </c>
      <c r="G33" s="140" t="s">
        <v>744</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759</v>
      </c>
      <c r="C34" s="140" t="s">
        <v>760</v>
      </c>
      <c r="D34" s="140" t="s">
        <v>761</v>
      </c>
      <c r="E34" s="140" t="s">
        <v>761</v>
      </c>
      <c r="F34" s="140" t="s">
        <v>757</v>
      </c>
      <c r="G34" s="140" t="s">
        <v>762</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0" t="s">
        <v>763</v>
      </c>
      <c r="C35" s="140" t="s">
        <v>764</v>
      </c>
      <c r="D35" s="140" t="s">
        <v>765</v>
      </c>
      <c r="E35" s="140" t="s">
        <v>765</v>
      </c>
      <c r="F35" s="140" t="s">
        <v>759</v>
      </c>
      <c r="G35" s="140" t="s">
        <v>415</v>
      </c>
      <c r="H35" s="140">
        <v>2</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0" t="s">
        <v>766</v>
      </c>
      <c r="C36" s="140" t="s">
        <v>520</v>
      </c>
      <c r="D36" s="140" t="s">
        <v>767</v>
      </c>
      <c r="E36" s="140" t="s">
        <v>767</v>
      </c>
      <c r="F36" s="140" t="s">
        <v>763</v>
      </c>
      <c r="G36" s="140" t="s">
        <v>267</v>
      </c>
      <c r="H36" s="140">
        <v>2</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E572-C9CE-4424-BF0C-4ED118F244C4}">
  <sheetPr>
    <pageSetUpPr fitToPage="1"/>
  </sheetPr>
  <dimension ref="A1:BL45"/>
  <sheetViews>
    <sheetView showGridLines="0" topLeftCell="A4" zoomScale="80" zoomScaleNormal="80" workbookViewId="0">
      <selection activeCell="O4" sqref="O4"/>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846</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c r="B9" s="137" t="s">
        <v>768</v>
      </c>
      <c r="C9" s="137" t="s">
        <v>769</v>
      </c>
      <c r="D9" s="137" t="s">
        <v>770</v>
      </c>
      <c r="E9" s="137" t="s">
        <v>770</v>
      </c>
      <c r="F9" s="137" t="s">
        <v>686</v>
      </c>
      <c r="G9" s="137" t="s">
        <v>333</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c r="B10" s="137" t="s">
        <v>771</v>
      </c>
      <c r="C10" s="137" t="s">
        <v>772</v>
      </c>
      <c r="D10" s="137" t="s">
        <v>773</v>
      </c>
      <c r="E10" s="137" t="s">
        <v>773</v>
      </c>
      <c r="F10" s="137" t="s">
        <v>768</v>
      </c>
      <c r="G10" s="137" t="s">
        <v>333</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774</v>
      </c>
      <c r="C11" s="137" t="s">
        <v>775</v>
      </c>
      <c r="D11" s="137" t="s">
        <v>776</v>
      </c>
      <c r="E11" s="137" t="s">
        <v>776</v>
      </c>
      <c r="F11" s="137" t="s">
        <v>771</v>
      </c>
      <c r="G11" s="137" t="s">
        <v>333</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777</v>
      </c>
      <c r="C12" s="140" t="s">
        <v>238</v>
      </c>
      <c r="D12" s="140" t="s">
        <v>778</v>
      </c>
      <c r="E12" s="140" t="s">
        <v>778</v>
      </c>
      <c r="F12" s="140" t="s">
        <v>774</v>
      </c>
      <c r="G12" s="140" t="s">
        <v>333</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779</v>
      </c>
      <c r="C13" s="140" t="s">
        <v>780</v>
      </c>
      <c r="D13" s="140" t="s">
        <v>781</v>
      </c>
      <c r="E13" s="140" t="s">
        <v>781</v>
      </c>
      <c r="F13" s="140" t="s">
        <v>777</v>
      </c>
      <c r="G13" s="140" t="s">
        <v>333</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782</v>
      </c>
      <c r="C14" s="140" t="s">
        <v>644</v>
      </c>
      <c r="D14" s="140" t="s">
        <v>783</v>
      </c>
      <c r="E14" s="140" t="s">
        <v>783</v>
      </c>
      <c r="F14" s="140" t="s">
        <v>779</v>
      </c>
      <c r="G14" s="140" t="s">
        <v>415</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784</v>
      </c>
      <c r="C15" s="140" t="s">
        <v>520</v>
      </c>
      <c r="D15" s="140" t="s">
        <v>785</v>
      </c>
      <c r="E15" s="140" t="s">
        <v>785</v>
      </c>
      <c r="F15" s="140" t="s">
        <v>782</v>
      </c>
      <c r="G15" s="140" t="s">
        <v>267</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786</v>
      </c>
      <c r="C16" s="140" t="s">
        <v>787</v>
      </c>
      <c r="D16" s="140" t="s">
        <v>788</v>
      </c>
      <c r="E16" s="140" t="s">
        <v>788</v>
      </c>
      <c r="F16" s="140" t="s">
        <v>777</v>
      </c>
      <c r="G16" s="140" t="s">
        <v>789</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790</v>
      </c>
      <c r="C17" s="140" t="s">
        <v>791</v>
      </c>
      <c r="D17" s="140" t="s">
        <v>792</v>
      </c>
      <c r="E17" s="140" t="s">
        <v>792</v>
      </c>
      <c r="F17" s="140" t="s">
        <v>786</v>
      </c>
      <c r="G17" s="140" t="s">
        <v>793</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794</v>
      </c>
      <c r="C18" s="140" t="s">
        <v>795</v>
      </c>
      <c r="D18" s="140" t="s">
        <v>796</v>
      </c>
      <c r="E18" s="140" t="s">
        <v>796</v>
      </c>
      <c r="F18" s="140" t="s">
        <v>790</v>
      </c>
      <c r="G18" s="140" t="s">
        <v>744</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797</v>
      </c>
      <c r="C19" s="140" t="s">
        <v>589</v>
      </c>
      <c r="D19" s="140" t="s">
        <v>798</v>
      </c>
      <c r="E19" s="140" t="s">
        <v>798</v>
      </c>
      <c r="F19" s="140" t="s">
        <v>794</v>
      </c>
      <c r="G19" s="140" t="s">
        <v>591</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799</v>
      </c>
      <c r="C20" s="140" t="s">
        <v>644</v>
      </c>
      <c r="D20" s="140" t="s">
        <v>800</v>
      </c>
      <c r="E20" s="140" t="s">
        <v>800</v>
      </c>
      <c r="F20" s="140" t="s">
        <v>797</v>
      </c>
      <c r="G20" s="140" t="s">
        <v>415</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801</v>
      </c>
      <c r="C21" s="140" t="s">
        <v>520</v>
      </c>
      <c r="D21" s="140" t="s">
        <v>802</v>
      </c>
      <c r="E21" s="140" t="s">
        <v>802</v>
      </c>
      <c r="F21" s="140" t="s">
        <v>799</v>
      </c>
      <c r="G21" s="140" t="s">
        <v>267</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803</v>
      </c>
      <c r="C22" s="140" t="s">
        <v>804</v>
      </c>
      <c r="D22" s="140" t="s">
        <v>805</v>
      </c>
      <c r="E22" s="140" t="s">
        <v>805</v>
      </c>
      <c r="F22" s="140" t="s">
        <v>790</v>
      </c>
      <c r="G22" s="140" t="s">
        <v>339</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806</v>
      </c>
      <c r="C23" s="140" t="s">
        <v>807</v>
      </c>
      <c r="D23" s="140" t="s">
        <v>808</v>
      </c>
      <c r="E23" s="140" t="s">
        <v>808</v>
      </c>
      <c r="F23" s="140" t="s">
        <v>803</v>
      </c>
      <c r="G23" s="140" t="s">
        <v>809</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810</v>
      </c>
      <c r="C24" s="140" t="s">
        <v>247</v>
      </c>
      <c r="D24" s="140" t="s">
        <v>811</v>
      </c>
      <c r="E24" s="140" t="s">
        <v>811</v>
      </c>
      <c r="F24" s="140" t="s">
        <v>803</v>
      </c>
      <c r="G24" s="140" t="s">
        <v>812</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813</v>
      </c>
      <c r="C25" s="140" t="s">
        <v>341</v>
      </c>
      <c r="D25" s="140" t="s">
        <v>814</v>
      </c>
      <c r="E25" s="140" t="s">
        <v>814</v>
      </c>
      <c r="F25" s="140" t="s">
        <v>794</v>
      </c>
      <c r="G25" s="140" t="s">
        <v>744</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815</v>
      </c>
      <c r="C26" s="140" t="s">
        <v>816</v>
      </c>
      <c r="D26" s="140" t="s">
        <v>817</v>
      </c>
      <c r="E26" s="140" t="s">
        <v>817</v>
      </c>
      <c r="F26" s="140" t="s">
        <v>813</v>
      </c>
      <c r="G26" s="140" t="s">
        <v>642</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818</v>
      </c>
      <c r="C27" s="140" t="s">
        <v>424</v>
      </c>
      <c r="D27" s="140" t="s">
        <v>819</v>
      </c>
      <c r="E27" s="140" t="s">
        <v>819</v>
      </c>
      <c r="F27" s="140" t="s">
        <v>815</v>
      </c>
      <c r="G27" s="140" t="s">
        <v>415</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820</v>
      </c>
      <c r="C28" s="140" t="s">
        <v>821</v>
      </c>
      <c r="D28" s="140" t="s">
        <v>822</v>
      </c>
      <c r="E28" s="140" t="s">
        <v>822</v>
      </c>
      <c r="F28" s="140" t="s">
        <v>818</v>
      </c>
      <c r="G28" s="140" t="s">
        <v>823</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824</v>
      </c>
      <c r="C29" s="140" t="s">
        <v>825</v>
      </c>
      <c r="D29" s="140" t="s">
        <v>826</v>
      </c>
      <c r="E29" s="140" t="s">
        <v>826</v>
      </c>
      <c r="F29" s="140" t="s">
        <v>820</v>
      </c>
      <c r="G29" s="140" t="s">
        <v>827</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828</v>
      </c>
      <c r="C30" s="140" t="s">
        <v>829</v>
      </c>
      <c r="D30" s="140" t="s">
        <v>830</v>
      </c>
      <c r="E30" s="140" t="s">
        <v>830</v>
      </c>
      <c r="F30" s="140" t="s">
        <v>818</v>
      </c>
      <c r="G30" s="140" t="s">
        <v>762</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831</v>
      </c>
      <c r="C31" s="140" t="s">
        <v>832</v>
      </c>
      <c r="D31" s="140" t="s">
        <v>833</v>
      </c>
      <c r="E31" s="140" t="s">
        <v>833</v>
      </c>
      <c r="F31" s="140" t="s">
        <v>828</v>
      </c>
      <c r="G31" s="140" t="s">
        <v>744</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834</v>
      </c>
      <c r="C32" s="140" t="s">
        <v>835</v>
      </c>
      <c r="D32" s="140" t="s">
        <v>836</v>
      </c>
      <c r="E32" s="140" t="s">
        <v>836</v>
      </c>
      <c r="F32" s="140" t="s">
        <v>831</v>
      </c>
      <c r="G32" s="140" t="s">
        <v>267</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837</v>
      </c>
      <c r="C33" s="140" t="s">
        <v>520</v>
      </c>
      <c r="D33" s="140" t="s">
        <v>838</v>
      </c>
      <c r="E33" s="140" t="s">
        <v>838</v>
      </c>
      <c r="F33" s="140" t="s">
        <v>834</v>
      </c>
      <c r="G33" s="140" t="s">
        <v>267</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839</v>
      </c>
      <c r="C34" s="140" t="s">
        <v>606</v>
      </c>
      <c r="D34" s="140" t="s">
        <v>840</v>
      </c>
      <c r="E34" s="140" t="s">
        <v>840</v>
      </c>
      <c r="F34" s="140" t="s">
        <v>837</v>
      </c>
      <c r="G34" s="140" t="s">
        <v>267</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1"/>
      <c r="C35" s="141"/>
      <c r="D35" s="141"/>
      <c r="E35" s="141"/>
      <c r="F35" s="141"/>
      <c r="G35" s="141"/>
      <c r="H35" s="141"/>
      <c r="I35"/>
      <c r="J35" s="139"/>
      <c r="K35" s="139"/>
      <c r="L35" s="139"/>
      <c r="M35" s="139"/>
      <c r="N35" s="139"/>
      <c r="O35" s="139"/>
      <c r="P35" s="139"/>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1"/>
      <c r="C36" s="141"/>
      <c r="D36" s="141"/>
      <c r="E36" s="141"/>
      <c r="F36" s="141"/>
      <c r="G36" s="141"/>
      <c r="H36" s="141"/>
      <c r="I36"/>
      <c r="J36" s="139"/>
      <c r="K36" s="139"/>
      <c r="L36" s="139"/>
      <c r="M36" s="139"/>
      <c r="N36" s="139"/>
      <c r="O36" s="139"/>
      <c r="P36" s="139"/>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4"/>
  <sheetViews>
    <sheetView zoomScale="80" zoomScaleNormal="80" workbookViewId="0">
      <selection activeCell="J33" sqref="J33"/>
    </sheetView>
  </sheetViews>
  <sheetFormatPr baseColWidth="10" defaultRowHeight="13.2"/>
  <cols>
    <col min="1" max="1" width="18.88671875" customWidth="1"/>
    <col min="3" max="3" width="18.6640625" customWidth="1"/>
    <col min="4" max="4" width="9.6640625" customWidth="1"/>
    <col min="5" max="5" width="83.5546875" customWidth="1"/>
    <col min="6" max="6" width="26.33203125" customWidth="1"/>
    <col min="7" max="7" width="16.88671875" customWidth="1"/>
    <col min="8" max="8" width="18.109375" customWidth="1"/>
  </cols>
  <sheetData>
    <row r="1" spans="1:8" ht="13.8" thickBot="1"/>
    <row r="2" spans="1:8">
      <c r="A2" s="143" t="str">
        <f>"BILAN au "&amp;TEXT(G3,"jj/mm/aaaa")</f>
        <v>BILAN au 19/00/Donnerstag</v>
      </c>
      <c r="B2" s="145"/>
      <c r="C2" s="145"/>
      <c r="D2" s="145"/>
      <c r="E2" s="145"/>
      <c r="F2" s="145"/>
      <c r="G2" s="186" t="str">
        <f>'1a-Identification Projet'!$L1</f>
        <v>Ref; PD 002</v>
      </c>
      <c r="H2" s="187"/>
    </row>
    <row r="3" spans="1:8">
      <c r="A3" s="147"/>
      <c r="B3" s="148"/>
      <c r="C3" s="148"/>
      <c r="D3" s="148"/>
      <c r="E3" s="148"/>
      <c r="F3" s="148"/>
      <c r="G3" s="188">
        <f>'1a-Identification Projet'!$L2</f>
        <v>43524</v>
      </c>
      <c r="H3" s="189"/>
    </row>
    <row r="4" spans="1:8" ht="13.8" thickBot="1">
      <c r="A4" s="150"/>
      <c r="B4" s="151"/>
      <c r="C4" s="151"/>
      <c r="D4" s="151"/>
      <c r="E4" s="151"/>
      <c r="F4" s="151"/>
      <c r="G4" s="190" t="str">
        <f>'1a-Identification Projet'!$L3</f>
        <v>Entreprise de prototypage de Toulouse</v>
      </c>
      <c r="H4" s="191"/>
    </row>
    <row r="5" spans="1:8">
      <c r="A5" s="1"/>
      <c r="B5" s="24"/>
      <c r="C5" s="24"/>
      <c r="D5" s="24"/>
      <c r="E5" s="2"/>
      <c r="F5" s="2"/>
      <c r="G5" s="2"/>
      <c r="H5" s="2"/>
    </row>
    <row r="6" spans="1:8">
      <c r="A6" s="1"/>
      <c r="B6" s="1"/>
      <c r="C6" s="1"/>
      <c r="D6" s="1"/>
      <c r="E6" s="2"/>
      <c r="F6" s="2"/>
      <c r="G6" s="2"/>
      <c r="H6" s="2"/>
    </row>
    <row r="7" spans="1:8">
      <c r="A7" s="75" t="s">
        <v>102</v>
      </c>
      <c r="B7" s="1"/>
      <c r="C7" s="1"/>
      <c r="D7" s="1"/>
      <c r="E7" s="2"/>
      <c r="F7" s="2"/>
      <c r="G7" s="2"/>
      <c r="H7" s="2"/>
    </row>
    <row r="8" spans="1:8" ht="95.25" customHeight="1">
      <c r="A8" s="236"/>
      <c r="B8" s="237"/>
      <c r="C8" s="237"/>
      <c r="D8" s="237"/>
      <c r="E8" s="237"/>
      <c r="F8" s="237"/>
      <c r="G8" s="237"/>
      <c r="H8" s="237"/>
    </row>
    <row r="9" spans="1:8">
      <c r="A9" s="1"/>
      <c r="B9" s="1"/>
      <c r="C9" s="1"/>
      <c r="D9" s="1"/>
      <c r="E9" s="2"/>
      <c r="F9" s="2"/>
      <c r="G9" s="2"/>
      <c r="H9" s="2"/>
    </row>
    <row r="10" spans="1:8">
      <c r="A10" s="75" t="s">
        <v>103</v>
      </c>
      <c r="B10" s="1"/>
      <c r="C10" s="1"/>
      <c r="D10" s="1"/>
      <c r="E10" s="2"/>
      <c r="F10" s="2"/>
      <c r="G10" s="2"/>
      <c r="H10" s="2"/>
    </row>
    <row r="11" spans="1:8" ht="82.5" customHeight="1">
      <c r="A11" s="236"/>
      <c r="B11" s="237"/>
      <c r="C11" s="237"/>
      <c r="D11" s="237"/>
      <c r="E11" s="237"/>
      <c r="F11" s="237"/>
      <c r="G11" s="237"/>
      <c r="H11" s="237"/>
    </row>
    <row r="12" spans="1:8">
      <c r="A12" s="1"/>
      <c r="B12" s="1"/>
      <c r="C12" s="1"/>
      <c r="D12" s="1"/>
      <c r="E12" s="2"/>
      <c r="F12" s="2"/>
      <c r="G12" s="2"/>
      <c r="H12" s="2"/>
    </row>
    <row r="13" spans="1:8">
      <c r="A13" s="75" t="s">
        <v>104</v>
      </c>
      <c r="B13" s="1"/>
      <c r="C13" s="1"/>
      <c r="D13" s="1"/>
      <c r="E13" s="2"/>
      <c r="F13" s="2"/>
      <c r="G13" s="2"/>
      <c r="H13" s="2"/>
    </row>
    <row r="14" spans="1:8" ht="78" customHeight="1">
      <c r="A14" s="236"/>
      <c r="B14" s="237"/>
      <c r="C14" s="237"/>
      <c r="D14" s="237"/>
      <c r="E14" s="237"/>
      <c r="F14" s="237"/>
      <c r="G14" s="237"/>
      <c r="H14" s="237"/>
    </row>
  </sheetData>
  <mergeCells count="7">
    <mergeCell ref="A14:H14"/>
    <mergeCell ref="G2:H2"/>
    <mergeCell ref="G3:H3"/>
    <mergeCell ref="G4:H4"/>
    <mergeCell ref="A8:H8"/>
    <mergeCell ref="A11:H11"/>
    <mergeCell ref="A2:F4"/>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17</vt:i4>
      </vt:variant>
    </vt:vector>
  </HeadingPairs>
  <TitlesOfParts>
    <vt:vector size="17" baseType="lpstr">
      <vt:lpstr>1a-Identification Projet</vt:lpstr>
      <vt:lpstr>1b- Besoin capturé</vt:lpstr>
      <vt:lpstr>2d-Planning Initia</vt:lpstr>
      <vt:lpstr>23a Risques-Opportunités</vt:lpstr>
      <vt:lpstr>23b- Principaux évènements</vt:lpstr>
      <vt:lpstr>23c Actions</vt:lpstr>
      <vt:lpstr>23d Decisions</vt:lpstr>
      <vt:lpstr>23e Documents projet</vt:lpstr>
      <vt:lpstr>23f Livrables projet</vt:lpstr>
      <vt:lpstr>3a-Planning courant</vt:lpstr>
      <vt:lpstr>Phase 1</vt:lpstr>
      <vt:lpstr>Phase 2</vt:lpstr>
      <vt:lpstr>Phase 3</vt:lpstr>
      <vt:lpstr>Phase 4</vt:lpstr>
      <vt:lpstr>Phase 5</vt:lpstr>
      <vt:lpstr>Phase 6</vt:lpstr>
      <vt:lpstr>4-Bilan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2018-03-05T21:39:43Z</dcterms:created>
  <dcterms:modified xsi:type="dcterms:W3CDTF">2026-04-24T20:14:39Z</dcterms:modified>
</cp:coreProperties>
</file>